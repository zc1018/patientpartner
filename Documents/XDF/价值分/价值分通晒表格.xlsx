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8"/>
  <workbookPr/>
  <mc:AlternateContent xmlns:mc="http://schemas.openxmlformats.org/markup-compatibility/2006">
    <mc:Choice Requires="x15">
      <x15ac:absPath xmlns:x15ac="http://schemas.microsoft.com/office/spreadsheetml/2010/11/ac" url="/Users/xdf/Documents/XDF/价值分/"/>
    </mc:Choice>
  </mc:AlternateContent>
  <xr:revisionPtr revIDLastSave="0" documentId="13_ncr:1_{31AA8E4E-8141-3F43-A838-7E279B64177A}" xr6:coauthVersionLast="47" xr6:coauthVersionMax="47" xr10:uidLastSave="{00000000-0000-0000-0000-000000000000}"/>
  <bookViews>
    <workbookView xWindow="4440" yWindow="760" windowWidth="25800" windowHeight="17260" activeTab="6" xr2:uid="{00000000-000D-0000-FFFF-FFFF00000000}"/>
  </bookViews>
  <sheets>
    <sheet name="初始值" sheetId="1" r:id="rId1"/>
    <sheet name="12 月" sheetId="2" r:id="rId2"/>
    <sheet name="1 月" sheetId="3" r:id="rId3"/>
    <sheet name="9 月" sheetId="4" r:id="rId4"/>
    <sheet name="10 月" sheetId="5" r:id="rId5"/>
    <sheet name="11 月" sheetId="6" r:id="rId6"/>
    <sheet name="2 月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7" l="1"/>
  <c r="P4" i="7"/>
  <c r="P5" i="7"/>
  <c r="P7" i="7"/>
  <c r="P8" i="7"/>
  <c r="O4" i="7"/>
  <c r="O6" i="7"/>
  <c r="O8" i="7"/>
  <c r="K3" i="7"/>
  <c r="K4" i="7"/>
  <c r="K5" i="7"/>
  <c r="K6" i="7"/>
  <c r="K8" i="7"/>
  <c r="K2" i="7"/>
  <c r="G3" i="7"/>
  <c r="G5" i="7"/>
  <c r="G6" i="7"/>
  <c r="G7" i="7"/>
  <c r="G2" i="7"/>
  <c r="G2" i="3"/>
  <c r="R10" i="6"/>
  <c r="S10" i="6" s="1"/>
  <c r="Q10" i="6"/>
  <c r="G10" i="6"/>
  <c r="P10" i="6" s="1"/>
  <c r="R9" i="6"/>
  <c r="S9" i="6" s="1"/>
  <c r="Q9" i="6"/>
  <c r="O9" i="6"/>
  <c r="P9" i="6" s="1"/>
  <c r="K9" i="6"/>
  <c r="G9" i="6"/>
  <c r="R8" i="6"/>
  <c r="S8" i="6" s="1"/>
  <c r="Q8" i="6"/>
  <c r="O8" i="6"/>
  <c r="K8" i="6"/>
  <c r="P8" i="6" s="1"/>
  <c r="S7" i="6"/>
  <c r="R7" i="6"/>
  <c r="Q7" i="6"/>
  <c r="K7" i="6"/>
  <c r="P7" i="6" s="1"/>
  <c r="G7" i="6"/>
  <c r="R6" i="6"/>
  <c r="S6" i="6" s="1"/>
  <c r="Q6" i="6"/>
  <c r="K6" i="6"/>
  <c r="G6" i="6"/>
  <c r="P6" i="6" s="1"/>
  <c r="S5" i="6"/>
  <c r="R5" i="6"/>
  <c r="Q5" i="6"/>
  <c r="O5" i="6"/>
  <c r="P5" i="6" s="1"/>
  <c r="K5" i="6"/>
  <c r="R4" i="6"/>
  <c r="S4" i="6" s="1"/>
  <c r="Q4" i="6"/>
  <c r="O4" i="6"/>
  <c r="K4" i="6"/>
  <c r="G4" i="6"/>
  <c r="P4" i="6" s="1"/>
  <c r="R3" i="6"/>
  <c r="S3" i="6" s="1"/>
  <c r="Q3" i="6"/>
  <c r="P3" i="6"/>
  <c r="O3" i="6"/>
  <c r="K3" i="6"/>
  <c r="G3" i="6"/>
  <c r="S2" i="6"/>
  <c r="R2" i="6"/>
  <c r="Q2" i="6"/>
  <c r="K2" i="6"/>
  <c r="P2" i="6" s="1"/>
  <c r="G2" i="6"/>
  <c r="S10" i="5"/>
  <c r="R10" i="5"/>
  <c r="Q10" i="5"/>
  <c r="P10" i="5"/>
  <c r="G10" i="5"/>
  <c r="R9" i="5"/>
  <c r="S9" i="5" s="1"/>
  <c r="Q9" i="5"/>
  <c r="O9" i="5"/>
  <c r="P9" i="5" s="1"/>
  <c r="K9" i="5"/>
  <c r="G9" i="5"/>
  <c r="R8" i="5"/>
  <c r="S8" i="5" s="1"/>
  <c r="Q8" i="5"/>
  <c r="O8" i="5"/>
  <c r="K8" i="5"/>
  <c r="P8" i="5" s="1"/>
  <c r="S7" i="5"/>
  <c r="R7" i="5"/>
  <c r="Q7" i="5"/>
  <c r="K7" i="5"/>
  <c r="P7" i="5" s="1"/>
  <c r="G7" i="5"/>
  <c r="R6" i="5"/>
  <c r="S6" i="5" s="1"/>
  <c r="Q6" i="5"/>
  <c r="K6" i="5"/>
  <c r="G6" i="5"/>
  <c r="P6" i="5" s="1"/>
  <c r="S5" i="5"/>
  <c r="R5" i="5"/>
  <c r="Q5" i="5"/>
  <c r="O5" i="5"/>
  <c r="P5" i="5" s="1"/>
  <c r="K5" i="5"/>
  <c r="R4" i="5"/>
  <c r="S4" i="5" s="1"/>
  <c r="Q4" i="5"/>
  <c r="O4" i="5"/>
  <c r="K4" i="5"/>
  <c r="G4" i="5"/>
  <c r="P4" i="5" s="1"/>
  <c r="R3" i="5"/>
  <c r="Q3" i="5"/>
  <c r="S3" i="5" s="1"/>
  <c r="P3" i="5"/>
  <c r="O3" i="5"/>
  <c r="K3" i="5"/>
  <c r="G3" i="5"/>
  <c r="S2" i="5"/>
  <c r="R2" i="5"/>
  <c r="Q2" i="5"/>
  <c r="K2" i="5"/>
  <c r="P2" i="5" s="1"/>
  <c r="G2" i="5"/>
  <c r="R10" i="4"/>
  <c r="S10" i="4" s="1"/>
  <c r="Q10" i="4"/>
  <c r="P10" i="4"/>
  <c r="G10" i="4"/>
  <c r="R9" i="4"/>
  <c r="S9" i="4" s="1"/>
  <c r="Q9" i="4"/>
  <c r="O9" i="4"/>
  <c r="P9" i="4" s="1"/>
  <c r="K9" i="4"/>
  <c r="R8" i="4"/>
  <c r="Q8" i="4"/>
  <c r="S8" i="4" s="1"/>
  <c r="P8" i="4"/>
  <c r="O8" i="4"/>
  <c r="K8" i="4"/>
  <c r="R7" i="4"/>
  <c r="S7" i="4" s="1"/>
  <c r="Q7" i="4"/>
  <c r="K7" i="4"/>
  <c r="G7" i="4"/>
  <c r="P7" i="4" s="1"/>
  <c r="R6" i="4"/>
  <c r="S6" i="4" s="1"/>
  <c r="Q6" i="4"/>
  <c r="P6" i="4"/>
  <c r="G6" i="4"/>
  <c r="R5" i="4"/>
  <c r="S5" i="4" s="1"/>
  <c r="Q5" i="4"/>
  <c r="O5" i="4"/>
  <c r="K5" i="4"/>
  <c r="P5" i="4" s="1"/>
  <c r="S4" i="4"/>
  <c r="R4" i="4"/>
  <c r="Q4" i="4"/>
  <c r="O4" i="4"/>
  <c r="K4" i="4"/>
  <c r="G4" i="4"/>
  <c r="P4" i="4" s="1"/>
  <c r="R3" i="4"/>
  <c r="S3" i="4" s="1"/>
  <c r="Q3" i="4"/>
  <c r="O3" i="4"/>
  <c r="K3" i="4"/>
  <c r="G3" i="4"/>
  <c r="P3" i="4" s="1"/>
  <c r="R2" i="4"/>
  <c r="S2" i="4" s="1"/>
  <c r="Q2" i="4"/>
  <c r="K2" i="4"/>
  <c r="G2" i="4"/>
  <c r="P2" i="4" s="1"/>
  <c r="P8" i="3"/>
  <c r="O8" i="3"/>
  <c r="K8" i="3"/>
  <c r="G7" i="3"/>
  <c r="P7" i="3" s="1"/>
  <c r="O6" i="3"/>
  <c r="K6" i="3"/>
  <c r="P6" i="3" s="1"/>
  <c r="P5" i="3"/>
  <c r="K5" i="3"/>
  <c r="G5" i="3"/>
  <c r="O4" i="3"/>
  <c r="P4" i="3" s="1"/>
  <c r="K4" i="3"/>
  <c r="K3" i="3"/>
  <c r="G3" i="3"/>
  <c r="P3" i="3" s="1"/>
  <c r="K2" i="3"/>
  <c r="P2" i="3"/>
  <c r="P8" i="2"/>
  <c r="O8" i="2"/>
  <c r="K8" i="2"/>
  <c r="G7" i="2"/>
  <c r="P7" i="2" s="1"/>
  <c r="O6" i="2"/>
  <c r="K6" i="2"/>
  <c r="P6" i="2" s="1"/>
  <c r="P5" i="2"/>
  <c r="K5" i="2"/>
  <c r="G5" i="2"/>
  <c r="O4" i="2"/>
  <c r="P4" i="2" s="1"/>
  <c r="K4" i="2"/>
  <c r="K3" i="2"/>
  <c r="G3" i="2"/>
  <c r="P3" i="2" s="1"/>
  <c r="K2" i="2"/>
  <c r="G2" i="2"/>
  <c r="P2" i="2" s="1"/>
  <c r="K7" i="1"/>
  <c r="D7" i="1"/>
  <c r="K6" i="1"/>
  <c r="G5" i="1"/>
  <c r="K5" i="1" s="1"/>
  <c r="D5" i="1"/>
  <c r="J4" i="1"/>
  <c r="G4" i="1"/>
  <c r="K4" i="1" s="1"/>
  <c r="G3" i="1"/>
  <c r="D3" i="1"/>
  <c r="K3" i="1" s="1"/>
  <c r="K2" i="1"/>
  <c r="G2" i="1"/>
  <c r="D2" i="1"/>
  <c r="P2" i="7" l="1"/>
  <c r="P6" i="7"/>
</calcChain>
</file>

<file path=xl/sharedStrings.xml><?xml version="1.0" encoding="utf-8"?>
<sst xmlns="http://schemas.openxmlformats.org/spreadsheetml/2006/main" count="269" uniqueCount="52">
  <si>
    <t>系统</t>
  </si>
  <si>
    <t>L1 现状</t>
  </si>
  <si>
    <t>L1 目标</t>
  </si>
  <si>
    <t>L1 进度</t>
  </si>
  <si>
    <t>L2 现状</t>
  </si>
  <si>
    <t>L2 目标</t>
  </si>
  <si>
    <t>L2 进度</t>
  </si>
  <si>
    <t>L3 现状</t>
  </si>
  <si>
    <t>L3 目标</t>
  </si>
  <si>
    <t>L3 进度</t>
  </si>
  <si>
    <t>总进度</t>
  </si>
  <si>
    <t>A慧刷题项目</t>
  </si>
  <si>
    <t>A哪吒系统 (在线版 ）</t>
  </si>
  <si>
    <t>A择校</t>
  </si>
  <si>
    <t>B慧学系统</t>
  </si>
  <si>
    <t>C轻学</t>
  </si>
  <si>
    <t>C售后平台</t>
  </si>
  <si>
    <t>投放平台</t>
  </si>
  <si>
    <t>车厢</t>
  </si>
  <si>
    <t>产品</t>
  </si>
  <si>
    <t>12 月</t>
  </si>
  <si>
    <t>三教</t>
  </si>
  <si>
    <t>李思涵</t>
  </si>
  <si>
    <t>督导学</t>
  </si>
  <si>
    <t>李殿龙</t>
  </si>
  <si>
    <t>学科工具</t>
  </si>
  <si>
    <t>李盼盼</t>
  </si>
  <si>
    <t>学员旅程</t>
  </si>
  <si>
    <t>吴罗刚/李向月</t>
  </si>
  <si>
    <t>三方</t>
  </si>
  <si>
    <t>王静/士卿/志伟</t>
  </si>
  <si>
    <t>营销</t>
  </si>
  <si>
    <t>李阔</t>
  </si>
  <si>
    <t>1 月</t>
  </si>
  <si>
    <t>L1 初始值</t>
  </si>
  <si>
    <t>9 月</t>
  </si>
  <si>
    <t>L2 初始值</t>
  </si>
  <si>
    <t>L3 初始值</t>
  </si>
  <si>
    <t>总分当前值</t>
  </si>
  <si>
    <t>总分目标值</t>
  </si>
  <si>
    <t>目标差值</t>
  </si>
  <si>
    <t>李越</t>
  </si>
  <si>
    <t>A销售陪练工具项目</t>
  </si>
  <si>
    <t>站台</t>
  </si>
  <si>
    <t>B魔方系统</t>
  </si>
  <si>
    <t>B哪吒系统（分中心）</t>
  </si>
  <si>
    <t>10 月</t>
  </si>
  <si>
    <t>峰值</t>
  </si>
  <si>
    <t>11 月</t>
  </si>
  <si>
    <t>2 月</t>
  </si>
  <si>
    <t>2 月.1</t>
  </si>
  <si>
    <t>2 月.2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</si>
</sst>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name val="等线"/>
      <charset val="134"/>
    </font>
    <font>
      <b/>
      <sz val="12"/>
      <name val="等线"/>
      <charset val="134"/>
    </font>
  </fonts>
  <fills count="4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9" fontId="3" fillId="0" borderId="0" xfId="0" applyNumberFormat="1" applyFont="1">
      <alignment vertical="center"/>
    </xf>
    <xf numFmtId="0" fontId="3" fillId="2" borderId="0" xfId="0" applyFont="1" applyFill="1">
      <alignment vertical="center"/>
    </xf>
    <xf numFmtId="9" fontId="3" fillId="2" borderId="0" xfId="0" applyNumberFormat="1" applyFont="1" applyFill="1">
      <alignment vertical="center"/>
    </xf>
    <xf numFmtId="10" fontId="3" fillId="0" borderId="0" xfId="0" applyNumberFormat="1" applyFont="1">
      <alignment vertical="center"/>
    </xf>
    <xf numFmtId="0" fontId="3" fillId="3" borderId="0" xfId="0" applyFont="1" applyFill="1">
      <alignment vertical="center"/>
    </xf>
    <xf numFmtId="9" fontId="3" fillId="3" borderId="0" xfId="0" applyNumberFormat="1" applyFont="1" applyFill="1">
      <alignment vertical="center"/>
    </xf>
    <xf numFmtId="0" fontId="0" fillId="0" borderId="0" xfId="0" applyAlignment="1"/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"/>
  <sheetViews>
    <sheetView workbookViewId="0">
      <selection activeCell="J5" sqref="J5"/>
    </sheetView>
  </sheetViews>
  <sheetFormatPr baseColWidth="10" defaultColWidth="10" defaultRowHeight="16.5" customHeight="1"/>
  <cols>
    <col min="1" max="1" width="18.1640625" style="9" customWidth="1"/>
  </cols>
  <sheetData>
    <row r="1" spans="1:1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5" customHeight="1">
      <c r="A2" s="2" t="s">
        <v>11</v>
      </c>
      <c r="B2" s="1">
        <v>0.67</v>
      </c>
      <c r="C2" s="1">
        <v>0.92</v>
      </c>
      <c r="D2" s="3">
        <f>(B2-B2)/(C2-B2)</f>
        <v>0</v>
      </c>
      <c r="E2" s="1">
        <v>1.17</v>
      </c>
      <c r="F2" s="1">
        <v>1.61</v>
      </c>
      <c r="G2" s="3">
        <f>(E2-E2)/(F2-E2)</f>
        <v>0</v>
      </c>
      <c r="H2" s="4">
        <v>100</v>
      </c>
      <c r="I2" s="4">
        <v>100</v>
      </c>
      <c r="J2" s="5">
        <v>1</v>
      </c>
      <c r="K2" s="3">
        <f t="shared" ref="K2:K7" si="0">(D2+G2+J2)/3</f>
        <v>0.33333333333333331</v>
      </c>
    </row>
    <row r="3" spans="1:11" ht="16.5" customHeight="1">
      <c r="A3" s="2" t="s">
        <v>12</v>
      </c>
      <c r="B3" s="1">
        <v>39.270000000000003</v>
      </c>
      <c r="C3" s="1">
        <v>43.16</v>
      </c>
      <c r="D3" s="3">
        <f>(B3-B3)/(C3-B3)</f>
        <v>0</v>
      </c>
      <c r="E3" s="1">
        <v>68.180000000000007</v>
      </c>
      <c r="F3" s="1">
        <v>71.53</v>
      </c>
      <c r="G3" s="3">
        <f>(E3-E3)/(F3-E3)</f>
        <v>0</v>
      </c>
      <c r="H3" s="7">
        <v>23.08</v>
      </c>
      <c r="I3" s="7">
        <v>23.08</v>
      </c>
      <c r="J3" s="8">
        <v>1</v>
      </c>
      <c r="K3" s="3">
        <f t="shared" si="0"/>
        <v>0.33333333333333331</v>
      </c>
    </row>
    <row r="4" spans="1:11" ht="16.5" customHeight="1">
      <c r="A4" s="2" t="s">
        <v>13</v>
      </c>
      <c r="B4" s="4">
        <v>120</v>
      </c>
      <c r="C4" s="4">
        <v>120</v>
      </c>
      <c r="D4" s="5">
        <v>1</v>
      </c>
      <c r="E4" s="1">
        <v>16</v>
      </c>
      <c r="F4" s="1">
        <v>17.600000000000001</v>
      </c>
      <c r="G4" s="3">
        <f>(E4-E4)/(F4-E4)</f>
        <v>0</v>
      </c>
      <c r="H4" s="1">
        <v>6</v>
      </c>
      <c r="I4" s="1">
        <v>6.6</v>
      </c>
      <c r="J4" s="3">
        <f>(H4-H4)/(I4-H4)</f>
        <v>0</v>
      </c>
      <c r="K4" s="3">
        <f t="shared" si="0"/>
        <v>0.33333333333333331</v>
      </c>
    </row>
    <row r="5" spans="1:11" ht="16.5" customHeight="1">
      <c r="A5" s="2" t="s">
        <v>14</v>
      </c>
      <c r="B5" s="1">
        <v>17.66</v>
      </c>
      <c r="C5" s="1">
        <v>22.91</v>
      </c>
      <c r="D5" s="3">
        <f>(B5-B5)/(C5-B5)</f>
        <v>0</v>
      </c>
      <c r="E5" s="1">
        <v>8.18</v>
      </c>
      <c r="F5" s="1">
        <v>10.6</v>
      </c>
      <c r="G5" s="3">
        <f>(E5-E5)/(F5-E5)</f>
        <v>0</v>
      </c>
      <c r="H5" s="4">
        <v>100</v>
      </c>
      <c r="I5" s="4">
        <v>100</v>
      </c>
      <c r="J5" s="5">
        <v>1</v>
      </c>
      <c r="K5" s="3">
        <f t="shared" si="0"/>
        <v>0.33333333333333331</v>
      </c>
    </row>
    <row r="6" spans="1:11" ht="16.5" customHeight="1">
      <c r="A6" s="2" t="s">
        <v>15</v>
      </c>
      <c r="B6" s="4">
        <v>54</v>
      </c>
      <c r="C6" s="4">
        <v>56.7</v>
      </c>
      <c r="D6" s="5">
        <v>1</v>
      </c>
      <c r="E6" s="4">
        <v>13</v>
      </c>
      <c r="F6" s="4">
        <v>14.3</v>
      </c>
      <c r="G6" s="5">
        <v>1</v>
      </c>
      <c r="H6" s="1">
        <v>97</v>
      </c>
      <c r="I6" s="1">
        <v>100</v>
      </c>
      <c r="K6" s="3">
        <f t="shared" si="0"/>
        <v>0.66666666666666663</v>
      </c>
    </row>
    <row r="7" spans="1:11" ht="16.5" customHeight="1">
      <c r="A7" s="2" t="s">
        <v>16</v>
      </c>
      <c r="B7" s="1">
        <v>25.91</v>
      </c>
      <c r="C7" s="1">
        <v>27.59</v>
      </c>
      <c r="D7" s="3">
        <f>(B7-B7)/(C7-B7)</f>
        <v>0</v>
      </c>
      <c r="E7" s="4">
        <v>100</v>
      </c>
      <c r="F7" s="4">
        <v>100</v>
      </c>
      <c r="G7" s="5">
        <v>1</v>
      </c>
      <c r="H7" s="4">
        <v>120</v>
      </c>
      <c r="I7" s="4">
        <v>120</v>
      </c>
      <c r="J7" s="5">
        <v>1</v>
      </c>
      <c r="K7" s="3">
        <f t="shared" si="0"/>
        <v>0.66666666666666663</v>
      </c>
    </row>
    <row r="8" spans="1:11" ht="16.5" customHeight="1">
      <c r="A8" s="1" t="s">
        <v>17</v>
      </c>
      <c r="B8" s="1">
        <v>120</v>
      </c>
      <c r="C8" s="1">
        <v>120</v>
      </c>
      <c r="D8" s="3">
        <v>1</v>
      </c>
      <c r="E8" s="1">
        <v>41.37</v>
      </c>
      <c r="F8" s="1">
        <v>43.74</v>
      </c>
      <c r="H8" s="1">
        <v>51.6</v>
      </c>
      <c r="I8" s="1">
        <v>54.63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8"/>
  <sheetViews>
    <sheetView workbookViewId="0"/>
  </sheetViews>
  <sheetFormatPr baseColWidth="10" defaultColWidth="10" defaultRowHeight="16.5" customHeight="1"/>
  <cols>
    <col min="1" max="1" width="18.1640625" style="9" customWidth="1"/>
  </cols>
  <sheetData>
    <row r="1" spans="1:16" ht="16.5" customHeight="1">
      <c r="A1" s="1" t="s">
        <v>0</v>
      </c>
      <c r="B1" s="2" t="s">
        <v>18</v>
      </c>
      <c r="C1" s="2" t="s">
        <v>19</v>
      </c>
      <c r="D1" s="1" t="s">
        <v>1</v>
      </c>
      <c r="E1" s="1" t="s">
        <v>20</v>
      </c>
      <c r="F1" s="1" t="s">
        <v>2</v>
      </c>
      <c r="G1" s="1" t="s">
        <v>3</v>
      </c>
      <c r="H1" s="1" t="s">
        <v>4</v>
      </c>
      <c r="I1" s="1" t="s">
        <v>20</v>
      </c>
      <c r="J1" s="1" t="s">
        <v>5</v>
      </c>
      <c r="K1" s="1" t="s">
        <v>6</v>
      </c>
      <c r="L1" s="1" t="s">
        <v>7</v>
      </c>
      <c r="M1" s="1" t="s">
        <v>20</v>
      </c>
      <c r="N1" s="1" t="s">
        <v>8</v>
      </c>
      <c r="O1" s="1" t="s">
        <v>9</v>
      </c>
      <c r="P1" s="1" t="s">
        <v>10</v>
      </c>
    </row>
    <row r="2" spans="1:16" ht="16.5" customHeight="1">
      <c r="A2" s="2" t="s">
        <v>11</v>
      </c>
      <c r="B2" s="2" t="s">
        <v>21</v>
      </c>
      <c r="C2" s="2" t="s">
        <v>22</v>
      </c>
      <c r="D2" s="1">
        <v>0.67</v>
      </c>
      <c r="E2" s="1">
        <v>0.26</v>
      </c>
      <c r="F2" s="1">
        <v>0.92</v>
      </c>
      <c r="G2" s="3">
        <f>(E2-D2)/(F2-D2)</f>
        <v>-1.6400000000000001</v>
      </c>
      <c r="H2" s="1">
        <v>1.17</v>
      </c>
      <c r="I2" s="1">
        <v>0.46</v>
      </c>
      <c r="J2" s="1">
        <v>1.61</v>
      </c>
      <c r="K2" s="3">
        <f>(I2-H2)/(J2-H2)</f>
        <v>-1.6136363636363629</v>
      </c>
      <c r="L2" s="4">
        <v>100</v>
      </c>
      <c r="M2" s="4">
        <v>100</v>
      </c>
      <c r="N2" s="4">
        <v>100</v>
      </c>
      <c r="O2" s="5">
        <v>1</v>
      </c>
      <c r="P2" s="3">
        <f t="shared" ref="P2:P8" si="0">(G2+K2+O2)/3</f>
        <v>-0.751212121212121</v>
      </c>
    </row>
    <row r="3" spans="1:16" ht="16.5" customHeight="1">
      <c r="A3" s="2" t="s">
        <v>12</v>
      </c>
      <c r="B3" s="2" t="s">
        <v>23</v>
      </c>
      <c r="C3" s="2" t="s">
        <v>24</v>
      </c>
      <c r="D3" s="1">
        <v>39.270000000000003</v>
      </c>
      <c r="E3" s="1">
        <v>39.450000000000003</v>
      </c>
      <c r="F3" s="1">
        <v>43.16</v>
      </c>
      <c r="G3" s="3">
        <f>(E3-D3)/(F3-D3)</f>
        <v>4.6272493573264788E-2</v>
      </c>
      <c r="H3" s="1">
        <v>68.180000000000007</v>
      </c>
      <c r="I3" s="1">
        <v>68.48</v>
      </c>
      <c r="J3" s="1">
        <v>71.53</v>
      </c>
      <c r="K3" s="3">
        <f>(I3-H3)/(J3-H3)</f>
        <v>8.955223880596945E-2</v>
      </c>
      <c r="L3" s="7">
        <v>23.08</v>
      </c>
      <c r="M3" s="7">
        <v>23.08</v>
      </c>
      <c r="N3" s="7">
        <v>23.08</v>
      </c>
      <c r="O3" s="8">
        <v>1</v>
      </c>
      <c r="P3" s="3">
        <f t="shared" si="0"/>
        <v>0.37860824412641142</v>
      </c>
    </row>
    <row r="4" spans="1:16" ht="16.5" customHeight="1">
      <c r="A4" s="2" t="s">
        <v>13</v>
      </c>
      <c r="B4" s="4" t="s">
        <v>25</v>
      </c>
      <c r="C4" s="4" t="s">
        <v>26</v>
      </c>
      <c r="D4" s="4">
        <v>120</v>
      </c>
      <c r="E4" s="4"/>
      <c r="F4" s="4">
        <v>120</v>
      </c>
      <c r="G4" s="5">
        <v>1</v>
      </c>
      <c r="H4" s="1">
        <v>16</v>
      </c>
      <c r="I4" s="1">
        <v>20</v>
      </c>
      <c r="J4" s="1">
        <v>17.600000000000001</v>
      </c>
      <c r="K4" s="3">
        <f>(I4-H4)/(J4-H4)</f>
        <v>2.4999999999999978</v>
      </c>
      <c r="L4" s="1">
        <v>6</v>
      </c>
      <c r="M4" s="1">
        <v>20</v>
      </c>
      <c r="N4" s="1">
        <v>6.6</v>
      </c>
      <c r="O4" s="3">
        <f>(M4-L4)/(N4-L4)</f>
        <v>23.333333333333346</v>
      </c>
      <c r="P4" s="3">
        <f t="shared" si="0"/>
        <v>8.9444444444444482</v>
      </c>
    </row>
    <row r="5" spans="1:16" ht="16.5" customHeight="1">
      <c r="A5" s="2" t="s">
        <v>14</v>
      </c>
      <c r="B5" s="2" t="s">
        <v>27</v>
      </c>
      <c r="C5" s="2" t="s">
        <v>28</v>
      </c>
      <c r="D5" s="1">
        <v>17.66</v>
      </c>
      <c r="E5" s="1">
        <v>9.5500000000000007</v>
      </c>
      <c r="F5" s="1">
        <v>22.91</v>
      </c>
      <c r="G5" s="3">
        <f>(E5-D5)/(F5-D5)</f>
        <v>-1.5447619047619046</v>
      </c>
      <c r="H5" s="1">
        <v>8.18</v>
      </c>
      <c r="I5" s="1">
        <v>4.42</v>
      </c>
      <c r="J5" s="1">
        <v>10.6</v>
      </c>
      <c r="K5" s="3">
        <f>(I5-H5)/(J5-H5)</f>
        <v>-1.5537190082644627</v>
      </c>
      <c r="L5" s="4">
        <v>100</v>
      </c>
      <c r="M5" s="4">
        <v>100</v>
      </c>
      <c r="N5" s="4">
        <v>100</v>
      </c>
      <c r="O5" s="5">
        <v>1</v>
      </c>
      <c r="P5" s="3">
        <f t="shared" si="0"/>
        <v>-0.6994936376754558</v>
      </c>
    </row>
    <row r="6" spans="1:16" ht="16.5" customHeight="1">
      <c r="A6" s="2" t="s">
        <v>15</v>
      </c>
      <c r="B6" s="4" t="s">
        <v>25</v>
      </c>
      <c r="C6" s="4" t="s">
        <v>26</v>
      </c>
      <c r="D6" s="4">
        <v>54</v>
      </c>
      <c r="E6" s="4">
        <v>120</v>
      </c>
      <c r="F6" s="4">
        <v>56.7</v>
      </c>
      <c r="G6" s="5">
        <v>1</v>
      </c>
      <c r="H6" s="1">
        <v>13</v>
      </c>
      <c r="I6" s="1">
        <v>120</v>
      </c>
      <c r="J6" s="1">
        <v>14.3</v>
      </c>
      <c r="K6" s="3">
        <f>(I6-H6)/(J6-H6)</f>
        <v>82.307692307692264</v>
      </c>
      <c r="L6" s="1">
        <v>97</v>
      </c>
      <c r="M6" s="1">
        <v>100</v>
      </c>
      <c r="N6" s="1">
        <v>100</v>
      </c>
      <c r="O6" s="3">
        <f>(M6-L6)/(N6-L6)</f>
        <v>1</v>
      </c>
      <c r="P6" s="3">
        <f t="shared" si="0"/>
        <v>28.102564102564088</v>
      </c>
    </row>
    <row r="7" spans="1:16" ht="16.5" customHeight="1">
      <c r="A7" s="2" t="s">
        <v>16</v>
      </c>
      <c r="B7" s="2" t="s">
        <v>29</v>
      </c>
      <c r="C7" s="2" t="s">
        <v>30</v>
      </c>
      <c r="D7" s="1">
        <v>25.91</v>
      </c>
      <c r="E7" s="1">
        <v>28.54</v>
      </c>
      <c r="F7" s="1">
        <v>27.59</v>
      </c>
      <c r="G7" s="3">
        <f>(E7-D7)/(F7-D7)</f>
        <v>1.5654761904761902</v>
      </c>
      <c r="H7" s="4">
        <v>100</v>
      </c>
      <c r="I7" s="4"/>
      <c r="J7" s="4">
        <v>100</v>
      </c>
      <c r="K7" s="5">
        <v>1</v>
      </c>
      <c r="L7" s="4">
        <v>120</v>
      </c>
      <c r="M7" s="4"/>
      <c r="N7" s="4">
        <v>120</v>
      </c>
      <c r="O7" s="5">
        <v>1</v>
      </c>
      <c r="P7" s="3">
        <f t="shared" si="0"/>
        <v>1.1884920634920635</v>
      </c>
    </row>
    <row r="8" spans="1:16" ht="16.5" customHeight="1">
      <c r="A8" s="1" t="s">
        <v>17</v>
      </c>
      <c r="B8" s="1" t="s">
        <v>31</v>
      </c>
      <c r="C8" s="1" t="s">
        <v>32</v>
      </c>
      <c r="D8" s="4">
        <v>120</v>
      </c>
      <c r="E8" s="4"/>
      <c r="F8" s="4">
        <v>120</v>
      </c>
      <c r="G8" s="5">
        <v>1</v>
      </c>
      <c r="H8" s="1">
        <v>41.37</v>
      </c>
      <c r="I8" s="1">
        <v>46.3</v>
      </c>
      <c r="J8" s="1">
        <v>43.74</v>
      </c>
      <c r="K8" s="3">
        <f>(I8-H8)/(J8-H8)</f>
        <v>2.0801687763713037</v>
      </c>
      <c r="L8" s="1">
        <v>51.6</v>
      </c>
      <c r="M8" s="1">
        <v>57.42</v>
      </c>
      <c r="N8" s="1">
        <v>54.63</v>
      </c>
      <c r="O8" s="3">
        <f>(M8-L8)/(N8-L8)</f>
        <v>1.9207920792079201</v>
      </c>
      <c r="P8" s="3">
        <f t="shared" si="0"/>
        <v>1.6669869518597411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8"/>
  <sheetViews>
    <sheetView workbookViewId="0">
      <selection activeCell="P2" sqref="P2"/>
    </sheetView>
  </sheetViews>
  <sheetFormatPr baseColWidth="10" defaultColWidth="10" defaultRowHeight="16.5" customHeight="1"/>
  <cols>
    <col min="1" max="1" width="18.1640625" style="9" customWidth="1"/>
  </cols>
  <sheetData>
    <row r="1" spans="1:16" ht="16.5" customHeight="1">
      <c r="A1" s="1" t="s">
        <v>0</v>
      </c>
      <c r="B1" s="2" t="s">
        <v>18</v>
      </c>
      <c r="C1" s="2" t="s">
        <v>19</v>
      </c>
      <c r="D1" s="1" t="s">
        <v>1</v>
      </c>
      <c r="E1" s="1" t="s">
        <v>33</v>
      </c>
      <c r="F1" s="1" t="s">
        <v>2</v>
      </c>
      <c r="G1" s="1" t="s">
        <v>3</v>
      </c>
      <c r="H1" s="1" t="s">
        <v>4</v>
      </c>
      <c r="I1" s="1" t="s">
        <v>33</v>
      </c>
      <c r="J1" s="1" t="s">
        <v>5</v>
      </c>
      <c r="K1" s="1" t="s">
        <v>6</v>
      </c>
      <c r="L1" s="1" t="s">
        <v>7</v>
      </c>
      <c r="M1" s="1" t="s">
        <v>33</v>
      </c>
      <c r="N1" s="1" t="s">
        <v>8</v>
      </c>
      <c r="O1" s="1" t="s">
        <v>9</v>
      </c>
      <c r="P1" s="1" t="s">
        <v>10</v>
      </c>
    </row>
    <row r="2" spans="1:16" ht="16.5" customHeight="1">
      <c r="A2" s="2" t="s">
        <v>11</v>
      </c>
      <c r="B2" s="2" t="s">
        <v>21</v>
      </c>
      <c r="C2" s="2" t="s">
        <v>22</v>
      </c>
      <c r="D2" s="1">
        <v>0.67</v>
      </c>
      <c r="E2" s="1">
        <v>0.31</v>
      </c>
      <c r="F2" s="1">
        <v>0.92</v>
      </c>
      <c r="G2" s="3">
        <f>(E2-D2)/(F2-D2)</f>
        <v>-1.4400000000000002</v>
      </c>
      <c r="H2" s="1">
        <v>1.17</v>
      </c>
      <c r="I2" s="1">
        <v>0.54</v>
      </c>
      <c r="J2" s="1">
        <v>1.61</v>
      </c>
      <c r="K2" s="3">
        <f>(I2-H2)/(J2-H2)</f>
        <v>-1.431818181818181</v>
      </c>
      <c r="L2" s="4">
        <v>100</v>
      </c>
      <c r="M2" s="4">
        <v>100</v>
      </c>
      <c r="N2" s="4">
        <v>100</v>
      </c>
      <c r="O2" s="5">
        <v>1</v>
      </c>
      <c r="P2" s="3">
        <f t="shared" ref="P2:P8" si="0">(G2+K2+O2)/3</f>
        <v>-0.62393939393939368</v>
      </c>
    </row>
    <row r="3" spans="1:16" ht="16.5" customHeight="1">
      <c r="A3" s="2" t="s">
        <v>12</v>
      </c>
      <c r="B3" s="2" t="s">
        <v>23</v>
      </c>
      <c r="C3" s="2" t="s">
        <v>24</v>
      </c>
      <c r="D3" s="1">
        <v>39.270000000000003</v>
      </c>
      <c r="E3" s="1">
        <v>39.72</v>
      </c>
      <c r="F3" s="1">
        <v>43.16</v>
      </c>
      <c r="G3" s="3">
        <f>(E3-D3)/(F3-D3)</f>
        <v>0.11568123393316106</v>
      </c>
      <c r="H3" s="1">
        <v>68.180000000000007</v>
      </c>
      <c r="I3" s="1">
        <v>68.97</v>
      </c>
      <c r="J3" s="1">
        <v>71.53</v>
      </c>
      <c r="K3" s="3">
        <f>(I3-H3)/(J3-H3)</f>
        <v>0.23582089552238608</v>
      </c>
      <c r="L3" s="7">
        <v>23.08</v>
      </c>
      <c r="M3" s="7">
        <v>23.08</v>
      </c>
      <c r="N3" s="7">
        <v>23.08</v>
      </c>
      <c r="O3" s="8">
        <v>1</v>
      </c>
      <c r="P3" s="3">
        <f t="shared" si="0"/>
        <v>0.4505007098185157</v>
      </c>
    </row>
    <row r="4" spans="1:16" ht="16.5" customHeight="1">
      <c r="A4" s="2" t="s">
        <v>13</v>
      </c>
      <c r="B4" s="4" t="s">
        <v>25</v>
      </c>
      <c r="C4" s="4" t="s">
        <v>26</v>
      </c>
      <c r="D4" s="4">
        <v>120</v>
      </c>
      <c r="E4" s="4"/>
      <c r="F4" s="4">
        <v>120</v>
      </c>
      <c r="G4" s="5">
        <v>1</v>
      </c>
      <c r="H4" s="1">
        <v>16</v>
      </c>
      <c r="I4" s="1">
        <v>25</v>
      </c>
      <c r="J4" s="1">
        <v>17.600000000000001</v>
      </c>
      <c r="K4" s="3">
        <f>(I4-H4)/(J4-H4)</f>
        <v>5.6249999999999947</v>
      </c>
      <c r="L4" s="1">
        <v>6</v>
      </c>
      <c r="M4" s="1">
        <v>46</v>
      </c>
      <c r="N4" s="1">
        <v>6.6</v>
      </c>
      <c r="O4" s="3">
        <f>(M4-L4)/(N4-L4)</f>
        <v>66.6666666666667</v>
      </c>
      <c r="P4" s="3">
        <f t="shared" si="0"/>
        <v>24.430555555555568</v>
      </c>
    </row>
    <row r="5" spans="1:16" ht="16.5" customHeight="1">
      <c r="A5" s="2" t="s">
        <v>14</v>
      </c>
      <c r="B5" s="2" t="s">
        <v>27</v>
      </c>
      <c r="C5" s="2" t="s">
        <v>28</v>
      </c>
      <c r="D5" s="1">
        <v>17.66</v>
      </c>
      <c r="E5" s="1">
        <v>9.5500000000000007</v>
      </c>
      <c r="F5" s="1">
        <v>22.91</v>
      </c>
      <c r="G5" s="3">
        <f>(E5-D5)/(F5-D5)</f>
        <v>-1.5447619047619046</v>
      </c>
      <c r="H5" s="1">
        <v>8.18</v>
      </c>
      <c r="I5" s="1">
        <v>4.42</v>
      </c>
      <c r="J5" s="1">
        <v>10.6</v>
      </c>
      <c r="K5" s="3">
        <f>(I5-H5)/(J5-H5)</f>
        <v>-1.5537190082644627</v>
      </c>
      <c r="L5" s="4">
        <v>100</v>
      </c>
      <c r="M5" s="4">
        <v>100</v>
      </c>
      <c r="N5" s="4">
        <v>100</v>
      </c>
      <c r="O5" s="5">
        <v>1</v>
      </c>
      <c r="P5" s="3">
        <f t="shared" si="0"/>
        <v>-0.6994936376754558</v>
      </c>
    </row>
    <row r="6" spans="1:16" ht="16.5" customHeight="1">
      <c r="A6" s="2" t="s">
        <v>15</v>
      </c>
      <c r="B6" s="4" t="s">
        <v>25</v>
      </c>
      <c r="C6" s="4" t="s">
        <v>26</v>
      </c>
      <c r="D6" s="4">
        <v>54</v>
      </c>
      <c r="E6" s="4">
        <v>120</v>
      </c>
      <c r="F6" s="4">
        <v>56.7</v>
      </c>
      <c r="G6" s="5">
        <v>1</v>
      </c>
      <c r="H6" s="1">
        <v>13</v>
      </c>
      <c r="I6" s="1">
        <v>120</v>
      </c>
      <c r="J6" s="1">
        <v>14.3</v>
      </c>
      <c r="K6" s="3">
        <f>(I6-H6)/(J6-H6)</f>
        <v>82.307692307692264</v>
      </c>
      <c r="L6" s="1">
        <v>97</v>
      </c>
      <c r="M6" s="1">
        <v>20</v>
      </c>
      <c r="N6" s="1">
        <v>100</v>
      </c>
      <c r="O6" s="3">
        <f>(M6-L6)/(N6-L6)</f>
        <v>-25.666666666666668</v>
      </c>
      <c r="P6" s="3">
        <f t="shared" si="0"/>
        <v>19.213675213675199</v>
      </c>
    </row>
    <row r="7" spans="1:16" ht="16.5" customHeight="1">
      <c r="A7" s="2" t="s">
        <v>16</v>
      </c>
      <c r="B7" s="2" t="s">
        <v>29</v>
      </c>
      <c r="C7" s="2" t="s">
        <v>30</v>
      </c>
      <c r="D7" s="1">
        <v>25.91</v>
      </c>
      <c r="E7" s="1">
        <v>34.03</v>
      </c>
      <c r="F7" s="1">
        <v>27.59</v>
      </c>
      <c r="G7" s="3">
        <f>(E7-D7)/(F7-D7)</f>
        <v>4.8333333333333348</v>
      </c>
      <c r="H7" s="4">
        <v>100</v>
      </c>
      <c r="I7" s="4"/>
      <c r="J7" s="4">
        <v>100</v>
      </c>
      <c r="K7" s="5">
        <v>1</v>
      </c>
      <c r="L7" s="4">
        <v>120</v>
      </c>
      <c r="M7" s="4"/>
      <c r="N7" s="4">
        <v>120</v>
      </c>
      <c r="O7" s="5">
        <v>1</v>
      </c>
      <c r="P7" s="3">
        <f t="shared" si="0"/>
        <v>2.2777777777777781</v>
      </c>
    </row>
    <row r="8" spans="1:16" ht="16.5" customHeight="1">
      <c r="A8" s="1" t="s">
        <v>17</v>
      </c>
      <c r="B8" s="1" t="s">
        <v>31</v>
      </c>
      <c r="C8" s="1" t="s">
        <v>32</v>
      </c>
      <c r="D8" s="4">
        <v>120</v>
      </c>
      <c r="E8" s="4"/>
      <c r="F8" s="4">
        <v>120</v>
      </c>
      <c r="G8" s="5">
        <v>1</v>
      </c>
      <c r="H8" s="1">
        <v>41.37</v>
      </c>
      <c r="I8" s="1">
        <v>120</v>
      </c>
      <c r="J8" s="1">
        <v>43.74</v>
      </c>
      <c r="K8" s="3">
        <f>(I8-H8)/(J8-H8)</f>
        <v>33.177215189873351</v>
      </c>
      <c r="L8" s="1">
        <v>51.6</v>
      </c>
      <c r="M8" s="1">
        <v>65.94</v>
      </c>
      <c r="N8" s="1">
        <v>54.63</v>
      </c>
      <c r="O8" s="3">
        <f>(M8-L8)/(N8-L8)</f>
        <v>4.7326732673267298</v>
      </c>
      <c r="P8" s="3">
        <f t="shared" si="0"/>
        <v>12.969962819066694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10"/>
  <sheetViews>
    <sheetView workbookViewId="0"/>
  </sheetViews>
  <sheetFormatPr baseColWidth="10" defaultColWidth="10" defaultRowHeight="16.5" customHeight="1"/>
  <cols>
    <col min="1" max="1" width="18.1640625" style="9" customWidth="1"/>
    <col min="3" max="16" width="10" style="9" customWidth="1"/>
  </cols>
  <sheetData>
    <row r="1" spans="1:19" ht="16.5" customHeight="1">
      <c r="A1" s="2" t="s">
        <v>0</v>
      </c>
      <c r="B1" s="2" t="s">
        <v>18</v>
      </c>
      <c r="C1" s="2" t="s">
        <v>19</v>
      </c>
      <c r="D1" s="2" t="s">
        <v>34</v>
      </c>
      <c r="E1" s="2" t="s">
        <v>35</v>
      </c>
      <c r="F1" s="2" t="s">
        <v>2</v>
      </c>
      <c r="G1" s="2" t="s">
        <v>3</v>
      </c>
      <c r="H1" s="2" t="s">
        <v>36</v>
      </c>
      <c r="I1" s="2" t="s">
        <v>35</v>
      </c>
      <c r="J1" s="2" t="s">
        <v>5</v>
      </c>
      <c r="K1" s="2" t="s">
        <v>6</v>
      </c>
      <c r="L1" s="2" t="s">
        <v>37</v>
      </c>
      <c r="M1" s="2" t="s">
        <v>35</v>
      </c>
      <c r="N1" s="2" t="s">
        <v>8</v>
      </c>
      <c r="O1" s="2" t="s">
        <v>9</v>
      </c>
      <c r="P1" s="2" t="s">
        <v>10</v>
      </c>
      <c r="Q1" s="1" t="s">
        <v>38</v>
      </c>
      <c r="R1" s="1" t="s">
        <v>39</v>
      </c>
      <c r="S1" s="1" t="s">
        <v>40</v>
      </c>
    </row>
    <row r="2" spans="1:19" ht="16.5" customHeight="1">
      <c r="A2" s="2" t="s">
        <v>11</v>
      </c>
      <c r="B2" s="2" t="s">
        <v>21</v>
      </c>
      <c r="C2" s="2" t="s">
        <v>41</v>
      </c>
      <c r="D2" s="2">
        <v>0.97</v>
      </c>
      <c r="E2" s="2">
        <v>1.53</v>
      </c>
      <c r="F2" s="2">
        <v>8</v>
      </c>
      <c r="G2" s="3">
        <f>(E2-D2)/(F2-D2)</f>
        <v>7.9658605974395447E-2</v>
      </c>
      <c r="H2" s="2">
        <v>5.77</v>
      </c>
      <c r="I2" s="2">
        <v>9</v>
      </c>
      <c r="J2" s="2">
        <v>15</v>
      </c>
      <c r="K2" s="3">
        <f>(I2-H2)/(J2-H2)</f>
        <v>0.34994582881906827</v>
      </c>
      <c r="L2" s="4">
        <v>100</v>
      </c>
      <c r="M2" s="4">
        <v>100</v>
      </c>
      <c r="N2" s="4">
        <v>100</v>
      </c>
      <c r="O2" s="5">
        <v>1</v>
      </c>
      <c r="P2" s="3">
        <f>(G2+K2)/2</f>
        <v>0.21480221739673186</v>
      </c>
      <c r="Q2" s="1">
        <f t="shared" ref="Q2:Q10" si="0">E2*0.5+I2*0.3+M2*0.2</f>
        <v>23.465</v>
      </c>
      <c r="R2" s="1">
        <f t="shared" ref="R2:R10" si="1">F2*0.5+J2*0.3+N2*0.2</f>
        <v>28.5</v>
      </c>
      <c r="S2" s="1">
        <f t="shared" ref="S2:S10" si="2">R2-Q2</f>
        <v>5.0350000000000001</v>
      </c>
    </row>
    <row r="3" spans="1:19" ht="16.5" customHeight="1">
      <c r="A3" s="2" t="s">
        <v>42</v>
      </c>
      <c r="B3" s="2" t="s">
        <v>43</v>
      </c>
      <c r="C3" s="2" t="s">
        <v>32</v>
      </c>
      <c r="D3" s="2">
        <v>0</v>
      </c>
      <c r="E3" s="2">
        <v>0</v>
      </c>
      <c r="F3" s="2">
        <v>25</v>
      </c>
      <c r="G3" s="3">
        <f>(E3-D3)/(F3-D3)</f>
        <v>0</v>
      </c>
      <c r="H3" s="2">
        <v>0</v>
      </c>
      <c r="I3" s="2">
        <v>0</v>
      </c>
      <c r="J3" s="2">
        <v>20</v>
      </c>
      <c r="K3" s="3">
        <f>(I3-H3)/(J3-H3)</f>
        <v>0</v>
      </c>
      <c r="L3" s="2">
        <v>0</v>
      </c>
      <c r="M3" s="2">
        <v>0</v>
      </c>
      <c r="N3" s="2">
        <v>19</v>
      </c>
      <c r="O3" s="3">
        <f>(M3-L3)/(N3-L3)</f>
        <v>0</v>
      </c>
      <c r="P3" s="3">
        <f>(G3+K3+O3)/3</f>
        <v>0</v>
      </c>
      <c r="Q3" s="1">
        <f t="shared" si="0"/>
        <v>0</v>
      </c>
      <c r="R3" s="1">
        <f t="shared" si="1"/>
        <v>22.3</v>
      </c>
      <c r="S3" s="1">
        <f t="shared" si="2"/>
        <v>22.3</v>
      </c>
    </row>
    <row r="4" spans="1:19" ht="16.5" customHeight="1">
      <c r="A4" s="2" t="s">
        <v>12</v>
      </c>
      <c r="B4" s="2" t="s">
        <v>23</v>
      </c>
      <c r="C4" s="2" t="s">
        <v>24</v>
      </c>
      <c r="D4" s="2">
        <v>37.590000000000003</v>
      </c>
      <c r="E4" s="2">
        <v>38</v>
      </c>
      <c r="F4" s="2">
        <v>45</v>
      </c>
      <c r="G4" s="3">
        <f>(E4-D4)/(F4-D4)</f>
        <v>5.5330634278002264E-2</v>
      </c>
      <c r="H4" s="2">
        <v>65.27</v>
      </c>
      <c r="I4" s="2">
        <v>65.97</v>
      </c>
      <c r="J4" s="2">
        <v>70</v>
      </c>
      <c r="K4" s="3">
        <f>(I4-H4)/(J4-H4)</f>
        <v>0.14799154334038103</v>
      </c>
      <c r="L4" s="2">
        <v>23.08</v>
      </c>
      <c r="M4" s="2">
        <v>23.08</v>
      </c>
      <c r="N4" s="2">
        <v>40</v>
      </c>
      <c r="O4" s="3">
        <f>(M4-L4)/(N4-L4)</f>
        <v>0</v>
      </c>
      <c r="P4" s="3">
        <f>(G4+K4+O4)/3</f>
        <v>6.7774059206127765E-2</v>
      </c>
      <c r="Q4" s="1">
        <f t="shared" si="0"/>
        <v>43.406999999999996</v>
      </c>
      <c r="R4" s="1">
        <f t="shared" si="1"/>
        <v>51.5</v>
      </c>
      <c r="S4" s="1">
        <f t="shared" si="2"/>
        <v>8.0930000000000035</v>
      </c>
    </row>
    <row r="5" spans="1:19" ht="16.5" customHeight="1">
      <c r="A5" s="2" t="s">
        <v>13</v>
      </c>
      <c r="B5" s="4" t="s">
        <v>25</v>
      </c>
      <c r="C5" s="4" t="s">
        <v>26</v>
      </c>
      <c r="D5" s="4">
        <v>120</v>
      </c>
      <c r="E5" s="4">
        <v>120</v>
      </c>
      <c r="F5" s="4">
        <v>120</v>
      </c>
      <c r="G5" s="5">
        <v>1</v>
      </c>
      <c r="H5" s="2">
        <v>17</v>
      </c>
      <c r="I5" s="2">
        <v>15</v>
      </c>
      <c r="J5" s="2">
        <v>20</v>
      </c>
      <c r="K5" s="3">
        <f>(I5-H5)/(J5-H5)</f>
        <v>-0.66666666666666663</v>
      </c>
      <c r="L5" s="2">
        <v>11</v>
      </c>
      <c r="M5" s="2">
        <v>13</v>
      </c>
      <c r="N5" s="2">
        <v>13</v>
      </c>
      <c r="O5" s="3">
        <f>(M5-L5)/(N5-L5)</f>
        <v>1</v>
      </c>
      <c r="P5" s="3">
        <f>(K5+O5)/2</f>
        <v>0.16666666666666669</v>
      </c>
      <c r="Q5" s="1">
        <f t="shared" si="0"/>
        <v>67.099999999999994</v>
      </c>
      <c r="R5" s="1">
        <f t="shared" si="1"/>
        <v>68.599999999999994</v>
      </c>
      <c r="S5" s="1">
        <f t="shared" si="2"/>
        <v>1.5</v>
      </c>
    </row>
    <row r="6" spans="1:19" ht="16.5" customHeight="1">
      <c r="A6" s="2" t="s">
        <v>14</v>
      </c>
      <c r="B6" s="2" t="s">
        <v>27</v>
      </c>
      <c r="C6" s="2" t="s">
        <v>41</v>
      </c>
      <c r="D6" s="2">
        <v>23.08</v>
      </c>
      <c r="E6" s="2">
        <v>23.19</v>
      </c>
      <c r="F6" s="2">
        <v>35</v>
      </c>
      <c r="G6" s="3">
        <f>(E6-D6)/(F6-D6)</f>
        <v>9.2281879194633359E-3</v>
      </c>
      <c r="H6" s="4">
        <v>26.69</v>
      </c>
      <c r="I6" s="4">
        <v>26.69</v>
      </c>
      <c r="J6" s="4">
        <v>26.69</v>
      </c>
      <c r="K6" s="5">
        <v>1</v>
      </c>
      <c r="L6" s="4">
        <v>100</v>
      </c>
      <c r="M6" s="4">
        <v>100</v>
      </c>
      <c r="N6" s="4">
        <v>100</v>
      </c>
      <c r="O6" s="5">
        <v>1</v>
      </c>
      <c r="P6" s="3">
        <f>G6</f>
        <v>9.2281879194633359E-3</v>
      </c>
      <c r="Q6" s="1">
        <f t="shared" si="0"/>
        <v>39.602000000000004</v>
      </c>
      <c r="R6" s="1">
        <f t="shared" si="1"/>
        <v>45.506999999999998</v>
      </c>
      <c r="S6" s="1">
        <f t="shared" si="2"/>
        <v>5.904999999999994</v>
      </c>
    </row>
    <row r="7" spans="1:19" ht="16.5" customHeight="1">
      <c r="A7" s="2" t="s">
        <v>44</v>
      </c>
      <c r="B7" s="2" t="s">
        <v>31</v>
      </c>
      <c r="C7" s="2" t="s">
        <v>32</v>
      </c>
      <c r="D7" s="2">
        <v>85.65</v>
      </c>
      <c r="E7" s="2">
        <v>95</v>
      </c>
      <c r="F7" s="2">
        <v>95</v>
      </c>
      <c r="G7" s="3">
        <f>(E7-D7)/(F7-D7)</f>
        <v>1</v>
      </c>
      <c r="H7" s="2">
        <v>0</v>
      </c>
      <c r="I7" s="2">
        <v>0</v>
      </c>
      <c r="J7" s="2">
        <v>33</v>
      </c>
      <c r="K7" s="3">
        <f>(I7-H7)/(J7-H7)</f>
        <v>0</v>
      </c>
      <c r="L7" s="4">
        <v>72</v>
      </c>
      <c r="M7" s="4">
        <v>72</v>
      </c>
      <c r="N7" s="4">
        <v>72</v>
      </c>
      <c r="O7" s="5">
        <v>1</v>
      </c>
      <c r="P7" s="3">
        <f>(G7+K7)/2</f>
        <v>0.5</v>
      </c>
      <c r="Q7" s="1">
        <f t="shared" si="0"/>
        <v>61.9</v>
      </c>
      <c r="R7" s="1">
        <f t="shared" si="1"/>
        <v>71.8</v>
      </c>
      <c r="S7" s="1">
        <f t="shared" si="2"/>
        <v>9.8999999999999986</v>
      </c>
    </row>
    <row r="8" spans="1:19" ht="16.5" customHeight="1">
      <c r="A8" s="2" t="s">
        <v>45</v>
      </c>
      <c r="B8" s="2" t="s">
        <v>23</v>
      </c>
      <c r="C8" s="2" t="s">
        <v>24</v>
      </c>
      <c r="D8" s="4">
        <v>121.38</v>
      </c>
      <c r="E8" s="4">
        <v>121.38</v>
      </c>
      <c r="F8" s="4">
        <v>121.38</v>
      </c>
      <c r="G8" s="5">
        <v>1</v>
      </c>
      <c r="H8" s="2">
        <v>84.29</v>
      </c>
      <c r="I8" s="2">
        <v>90</v>
      </c>
      <c r="J8" s="2">
        <v>90</v>
      </c>
      <c r="K8" s="3">
        <f>(I8-H8)/(J8-H8)</f>
        <v>1</v>
      </c>
      <c r="L8" s="2">
        <v>23.08</v>
      </c>
      <c r="M8" s="2">
        <v>23.08</v>
      </c>
      <c r="N8" s="2">
        <v>40</v>
      </c>
      <c r="O8" s="3">
        <f>(M8-L8)/(N8-L8)</f>
        <v>0</v>
      </c>
      <c r="P8" s="3">
        <f>(K8+O8)/2</f>
        <v>0.5</v>
      </c>
      <c r="Q8" s="1">
        <f t="shared" si="0"/>
        <v>92.305999999999997</v>
      </c>
      <c r="R8" s="1">
        <f t="shared" si="1"/>
        <v>95.69</v>
      </c>
      <c r="S8" s="1">
        <f t="shared" si="2"/>
        <v>3.3840000000000003</v>
      </c>
    </row>
    <row r="9" spans="1:19" ht="16.5" customHeight="1">
      <c r="A9" s="2" t="s">
        <v>15</v>
      </c>
      <c r="B9" s="4" t="s">
        <v>25</v>
      </c>
      <c r="C9" s="4" t="s">
        <v>26</v>
      </c>
      <c r="D9" s="4">
        <v>120</v>
      </c>
      <c r="E9" s="4">
        <v>120</v>
      </c>
      <c r="F9" s="4">
        <v>120</v>
      </c>
      <c r="G9" s="5">
        <v>1</v>
      </c>
      <c r="H9" s="2">
        <v>0.06</v>
      </c>
      <c r="I9" s="2">
        <v>7.0000000000000007E-2</v>
      </c>
      <c r="J9" s="2">
        <v>5</v>
      </c>
      <c r="K9" s="6">
        <f>(I9-H9)/(J9-H9)</f>
        <v>2.0242914979757103E-3</v>
      </c>
      <c r="L9" s="2">
        <v>6</v>
      </c>
      <c r="M9" s="2">
        <v>7</v>
      </c>
      <c r="N9" s="2">
        <v>10</v>
      </c>
      <c r="O9" s="3">
        <f>(M9-L9)/(N9-L9)</f>
        <v>0.25</v>
      </c>
      <c r="P9" s="3">
        <f>(O9+K9)/2</f>
        <v>0.12601214574898786</v>
      </c>
      <c r="Q9" s="1">
        <f t="shared" si="0"/>
        <v>61.420999999999999</v>
      </c>
      <c r="R9" s="1">
        <f t="shared" si="1"/>
        <v>63.5</v>
      </c>
      <c r="S9" s="1">
        <f t="shared" si="2"/>
        <v>2.0790000000000006</v>
      </c>
    </row>
    <row r="10" spans="1:19" ht="16.5" customHeight="1">
      <c r="A10" s="2" t="s">
        <v>16</v>
      </c>
      <c r="B10" s="2" t="s">
        <v>29</v>
      </c>
      <c r="C10" s="2" t="s">
        <v>30</v>
      </c>
      <c r="D10" s="2">
        <v>4.91</v>
      </c>
      <c r="E10" s="2">
        <v>5.86</v>
      </c>
      <c r="F10" s="2">
        <v>25</v>
      </c>
      <c r="G10" s="3">
        <f>(E10-D10)/(F10-D10)</f>
        <v>4.728720756595322E-2</v>
      </c>
      <c r="H10" s="4">
        <v>100</v>
      </c>
      <c r="I10" s="4">
        <v>100</v>
      </c>
      <c r="J10" s="4">
        <v>100</v>
      </c>
      <c r="K10" s="5">
        <v>1</v>
      </c>
      <c r="L10" s="4">
        <v>120</v>
      </c>
      <c r="M10" s="4">
        <v>120</v>
      </c>
      <c r="N10" s="4">
        <v>120</v>
      </c>
      <c r="O10" s="5">
        <v>1</v>
      </c>
      <c r="P10" s="3">
        <f>G10</f>
        <v>4.728720756595322E-2</v>
      </c>
      <c r="Q10" s="1">
        <f t="shared" si="0"/>
        <v>56.93</v>
      </c>
      <c r="R10" s="1">
        <f t="shared" si="1"/>
        <v>66.5</v>
      </c>
      <c r="S10" s="1">
        <f t="shared" si="2"/>
        <v>9.57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10"/>
  <sheetViews>
    <sheetView workbookViewId="0"/>
  </sheetViews>
  <sheetFormatPr baseColWidth="10" defaultColWidth="10" defaultRowHeight="16.5" customHeight="1"/>
  <sheetData>
    <row r="1" spans="1:20" ht="16.5" customHeight="1">
      <c r="A1" s="2" t="s">
        <v>0</v>
      </c>
      <c r="B1" s="2" t="s">
        <v>18</v>
      </c>
      <c r="C1" s="2" t="s">
        <v>19</v>
      </c>
      <c r="D1" s="2" t="s">
        <v>34</v>
      </c>
      <c r="E1" s="2" t="s">
        <v>46</v>
      </c>
      <c r="F1" s="2" t="s">
        <v>2</v>
      </c>
      <c r="G1" s="2" t="s">
        <v>3</v>
      </c>
      <c r="H1" s="2" t="s">
        <v>36</v>
      </c>
      <c r="I1" s="2" t="s">
        <v>46</v>
      </c>
      <c r="J1" s="2" t="s">
        <v>5</v>
      </c>
      <c r="K1" s="2" t="s">
        <v>6</v>
      </c>
      <c r="L1" s="2" t="s">
        <v>37</v>
      </c>
      <c r="M1" s="2" t="s">
        <v>46</v>
      </c>
      <c r="N1" s="2" t="s">
        <v>8</v>
      </c>
      <c r="O1" s="2" t="s">
        <v>9</v>
      </c>
      <c r="P1" s="2" t="s">
        <v>10</v>
      </c>
      <c r="Q1" s="1" t="s">
        <v>38</v>
      </c>
      <c r="R1" s="1" t="s">
        <v>39</v>
      </c>
      <c r="S1" s="1" t="s">
        <v>40</v>
      </c>
      <c r="T1" s="1" t="s">
        <v>47</v>
      </c>
    </row>
    <row r="2" spans="1:20" ht="16.5" customHeight="1">
      <c r="A2" s="2" t="s">
        <v>11</v>
      </c>
      <c r="B2" s="2" t="s">
        <v>21</v>
      </c>
      <c r="C2" s="2" t="s">
        <v>41</v>
      </c>
      <c r="D2" s="2">
        <v>0.97</v>
      </c>
      <c r="E2" s="2">
        <v>1.42</v>
      </c>
      <c r="F2" s="2">
        <v>8</v>
      </c>
      <c r="G2" s="3">
        <f>(E2-D2)/(F2-D2)</f>
        <v>6.4011379800853474E-2</v>
      </c>
      <c r="H2" s="2">
        <v>5.77</v>
      </c>
      <c r="I2" s="2">
        <v>2.46</v>
      </c>
      <c r="J2" s="2">
        <v>15</v>
      </c>
      <c r="K2" s="3">
        <f>(I2-H2)/(J2-H2)</f>
        <v>-0.35861321776814731</v>
      </c>
      <c r="L2" s="4">
        <v>100</v>
      </c>
      <c r="M2" s="4"/>
      <c r="N2" s="4">
        <v>100</v>
      </c>
      <c r="O2" s="5">
        <v>1</v>
      </c>
      <c r="P2" s="3">
        <f>(G2+K2)/2</f>
        <v>-0.14730091898364692</v>
      </c>
      <c r="Q2" s="1">
        <f t="shared" ref="Q2:Q10" si="0">E2*0.5+I2*0.3+M2*0.2</f>
        <v>1.448</v>
      </c>
      <c r="R2" s="1">
        <f t="shared" ref="R2:R10" si="1">F2*0.5+J2*0.3+N2*0.2</f>
        <v>28.5</v>
      </c>
      <c r="S2" s="1">
        <f t="shared" ref="S2:S10" si="2">R2-Q2</f>
        <v>27.052</v>
      </c>
      <c r="T2" s="3">
        <v>-0.15</v>
      </c>
    </row>
    <row r="3" spans="1:20" ht="16.5" customHeight="1">
      <c r="A3" s="2" t="s">
        <v>42</v>
      </c>
      <c r="B3" s="2" t="s">
        <v>43</v>
      </c>
      <c r="C3" s="2" t="s">
        <v>32</v>
      </c>
      <c r="D3" s="2">
        <v>0</v>
      </c>
      <c r="E3" s="2"/>
      <c r="F3" s="2">
        <v>25</v>
      </c>
      <c r="G3" s="3">
        <f>(E3-D3)/(F3-D3)</f>
        <v>0</v>
      </c>
      <c r="H3" s="2">
        <v>0</v>
      </c>
      <c r="I3" s="2"/>
      <c r="J3" s="2">
        <v>20</v>
      </c>
      <c r="K3" s="3">
        <f>(I3-H3)/(J3-H3)</f>
        <v>0</v>
      </c>
      <c r="L3" s="2">
        <v>0</v>
      </c>
      <c r="M3" s="2"/>
      <c r="N3" s="2">
        <v>19</v>
      </c>
      <c r="O3" s="3">
        <f>(M3-L3)/(N3-L3)</f>
        <v>0</v>
      </c>
      <c r="P3" s="3">
        <f>(G3+K3+O3)/3</f>
        <v>0</v>
      </c>
      <c r="Q3" s="1">
        <f t="shared" si="0"/>
        <v>0</v>
      </c>
      <c r="R3" s="1">
        <f t="shared" si="1"/>
        <v>22.3</v>
      </c>
      <c r="S3" s="1">
        <f t="shared" si="2"/>
        <v>22.3</v>
      </c>
    </row>
    <row r="4" spans="1:20" ht="16.5" customHeight="1">
      <c r="A4" s="2" t="s">
        <v>12</v>
      </c>
      <c r="B4" s="2" t="s">
        <v>23</v>
      </c>
      <c r="C4" s="2" t="s">
        <v>24</v>
      </c>
      <c r="D4" s="2">
        <v>37.590000000000003</v>
      </c>
      <c r="E4" s="2">
        <v>39.119999999999997</v>
      </c>
      <c r="F4" s="2">
        <v>45</v>
      </c>
      <c r="G4" s="3">
        <f>(E4-D4)/(F4-D4)</f>
        <v>0.20647773279352155</v>
      </c>
      <c r="H4" s="2">
        <v>65.27</v>
      </c>
      <c r="I4" s="2">
        <v>67.92</v>
      </c>
      <c r="J4" s="2">
        <v>70</v>
      </c>
      <c r="K4" s="3">
        <f>(I4-H4)/(J4-H4)</f>
        <v>0.56025369978858419</v>
      </c>
      <c r="L4" s="2">
        <v>23.08</v>
      </c>
      <c r="M4" s="2">
        <v>23.08</v>
      </c>
      <c r="N4" s="2">
        <v>40</v>
      </c>
      <c r="O4" s="3">
        <f>(M4-L4)/(N4-L4)</f>
        <v>0</v>
      </c>
      <c r="P4" s="3">
        <f>(G4+K4+O4)/3</f>
        <v>0.25557714419403527</v>
      </c>
      <c r="Q4" s="1">
        <f t="shared" si="0"/>
        <v>44.552</v>
      </c>
      <c r="R4" s="1">
        <f t="shared" si="1"/>
        <v>51.5</v>
      </c>
      <c r="S4" s="1">
        <f t="shared" si="2"/>
        <v>6.9480000000000004</v>
      </c>
      <c r="T4" s="3">
        <v>0.26</v>
      </c>
    </row>
    <row r="5" spans="1:20" ht="16.5" customHeight="1">
      <c r="A5" s="2" t="s">
        <v>13</v>
      </c>
      <c r="B5" s="4" t="s">
        <v>25</v>
      </c>
      <c r="C5" s="4" t="s">
        <v>26</v>
      </c>
      <c r="D5" s="4">
        <v>120</v>
      </c>
      <c r="E5" s="4">
        <v>113</v>
      </c>
      <c r="F5" s="4">
        <v>120</v>
      </c>
      <c r="G5" s="5">
        <v>1</v>
      </c>
      <c r="H5" s="2">
        <v>17</v>
      </c>
      <c r="I5" s="2">
        <v>15</v>
      </c>
      <c r="J5" s="2">
        <v>20</v>
      </c>
      <c r="K5" s="3">
        <f>(I5-H5)/(J5-H5)</f>
        <v>-0.66666666666666663</v>
      </c>
      <c r="L5" s="2">
        <v>11</v>
      </c>
      <c r="M5" s="2">
        <v>9</v>
      </c>
      <c r="N5" s="2">
        <v>13</v>
      </c>
      <c r="O5" s="3">
        <f>(M5-L5)/(N5-L5)</f>
        <v>-1</v>
      </c>
      <c r="P5" s="3">
        <f>(K5+O5)/2</f>
        <v>-0.83333333333333326</v>
      </c>
      <c r="Q5" s="1">
        <f t="shared" si="0"/>
        <v>62.8</v>
      </c>
      <c r="R5" s="1">
        <f t="shared" si="1"/>
        <v>68.599999999999994</v>
      </c>
      <c r="S5" s="1">
        <f t="shared" si="2"/>
        <v>5.7999999999999972</v>
      </c>
      <c r="T5" s="3">
        <v>-0.83</v>
      </c>
    </row>
    <row r="6" spans="1:20" ht="16.5" customHeight="1">
      <c r="A6" s="2" t="s">
        <v>14</v>
      </c>
      <c r="B6" s="2" t="s">
        <v>27</v>
      </c>
      <c r="C6" s="2" t="s">
        <v>41</v>
      </c>
      <c r="D6" s="2">
        <v>23.08</v>
      </c>
      <c r="E6" s="2">
        <v>40.94</v>
      </c>
      <c r="F6" s="2">
        <v>35</v>
      </c>
      <c r="G6" s="3">
        <f>(E6-D6)/(F6-D6)</f>
        <v>1.4983221476510065</v>
      </c>
      <c r="H6" s="4">
        <v>26.69</v>
      </c>
      <c r="I6" s="4">
        <v>18.96</v>
      </c>
      <c r="J6" s="4">
        <v>26.69</v>
      </c>
      <c r="K6" s="3">
        <f>I6/H6</f>
        <v>0.71037841888347697</v>
      </c>
      <c r="L6" s="4">
        <v>100</v>
      </c>
      <c r="M6" s="4">
        <v>100</v>
      </c>
      <c r="N6" s="4">
        <v>100</v>
      </c>
      <c r="O6" s="5">
        <v>1</v>
      </c>
      <c r="P6" s="3">
        <f>(G6+K6)/2</f>
        <v>1.1043502832672418</v>
      </c>
      <c r="Q6" s="1">
        <f t="shared" si="0"/>
        <v>46.158000000000001</v>
      </c>
      <c r="R6" s="1">
        <f t="shared" si="1"/>
        <v>45.506999999999998</v>
      </c>
      <c r="S6" s="1">
        <f t="shared" si="2"/>
        <v>-0.65100000000000335</v>
      </c>
      <c r="T6" s="3">
        <v>1</v>
      </c>
    </row>
    <row r="7" spans="1:20" ht="16.5" customHeight="1">
      <c r="A7" s="2" t="s">
        <v>44</v>
      </c>
      <c r="B7" s="2" t="s">
        <v>31</v>
      </c>
      <c r="C7" s="2" t="s">
        <v>32</v>
      </c>
      <c r="D7" s="2">
        <v>85.65</v>
      </c>
      <c r="E7" s="2">
        <v>120</v>
      </c>
      <c r="F7" s="2">
        <v>95</v>
      </c>
      <c r="G7" s="3">
        <f>(E7-D7)/(F7-D7)</f>
        <v>3.6737967914438521</v>
      </c>
      <c r="H7" s="2">
        <v>0</v>
      </c>
      <c r="I7" s="2">
        <v>100</v>
      </c>
      <c r="J7" s="2">
        <v>33</v>
      </c>
      <c r="K7" s="3">
        <f>(I7-H7)/(J7-H7)</f>
        <v>3.0303030303030303</v>
      </c>
      <c r="L7" s="4">
        <v>72</v>
      </c>
      <c r="M7" s="4"/>
      <c r="N7" s="4">
        <v>72</v>
      </c>
      <c r="O7" s="5">
        <v>1</v>
      </c>
      <c r="P7" s="3">
        <f>(G7+K7)/2</f>
        <v>3.3520499108734412</v>
      </c>
      <c r="Q7" s="1">
        <f t="shared" si="0"/>
        <v>90</v>
      </c>
      <c r="R7" s="1">
        <f t="shared" si="1"/>
        <v>71.8</v>
      </c>
      <c r="S7" s="1">
        <f t="shared" si="2"/>
        <v>-18.200000000000003</v>
      </c>
      <c r="T7" s="3">
        <v>1</v>
      </c>
    </row>
    <row r="8" spans="1:20" ht="16.5" customHeight="1">
      <c r="A8" s="2" t="s">
        <v>45</v>
      </c>
      <c r="B8" s="2" t="s">
        <v>23</v>
      </c>
      <c r="C8" s="2" t="s">
        <v>24</v>
      </c>
      <c r="D8" s="4">
        <v>121.38</v>
      </c>
      <c r="E8" s="4">
        <v>241.51</v>
      </c>
      <c r="F8" s="4">
        <v>121.38</v>
      </c>
      <c r="G8" s="5">
        <v>1</v>
      </c>
      <c r="H8" s="2">
        <v>84.29</v>
      </c>
      <c r="I8" s="2">
        <v>167.71</v>
      </c>
      <c r="J8" s="2">
        <v>90</v>
      </c>
      <c r="K8" s="3">
        <f>(I8-H8)/(J8-H8)</f>
        <v>14.609457092819632</v>
      </c>
      <c r="L8" s="2">
        <v>23.08</v>
      </c>
      <c r="M8" s="2">
        <v>23.08</v>
      </c>
      <c r="N8" s="2">
        <v>40</v>
      </c>
      <c r="O8" s="3">
        <f>(M8-L8)/(N8-L8)</f>
        <v>0</v>
      </c>
      <c r="P8" s="3">
        <f>(K8+O8)/2</f>
        <v>7.3047285464098159</v>
      </c>
      <c r="Q8" s="1">
        <f t="shared" si="0"/>
        <v>175.68399999999997</v>
      </c>
      <c r="R8" s="1">
        <f t="shared" si="1"/>
        <v>95.69</v>
      </c>
      <c r="S8" s="1">
        <f t="shared" si="2"/>
        <v>-79.993999999999971</v>
      </c>
      <c r="T8" s="3">
        <v>1</v>
      </c>
    </row>
    <row r="9" spans="1:20" ht="16.5" customHeight="1">
      <c r="A9" s="2" t="s">
        <v>15</v>
      </c>
      <c r="B9" s="4" t="s">
        <v>25</v>
      </c>
      <c r="C9" s="4" t="s">
        <v>26</v>
      </c>
      <c r="D9" s="4">
        <v>120</v>
      </c>
      <c r="E9" s="4">
        <v>81</v>
      </c>
      <c r="F9" s="4">
        <v>120</v>
      </c>
      <c r="G9" s="5">
        <f>E9/120</f>
        <v>0.67500000000000004</v>
      </c>
      <c r="H9" s="2">
        <v>0.06</v>
      </c>
      <c r="I9" s="2">
        <v>6.08</v>
      </c>
      <c r="J9" s="2">
        <v>5</v>
      </c>
      <c r="K9" s="6">
        <f>(I9-H9)/(J9-H9)</f>
        <v>1.2186234817813766</v>
      </c>
      <c r="L9" s="2">
        <v>6</v>
      </c>
      <c r="M9" s="2">
        <v>13</v>
      </c>
      <c r="N9" s="2">
        <v>10</v>
      </c>
      <c r="O9" s="3">
        <f>(M9-L9)/(N9-L9)</f>
        <v>1.75</v>
      </c>
      <c r="P9" s="3">
        <f>(O9+K9)/2</f>
        <v>1.4843117408906883</v>
      </c>
      <c r="Q9" s="1">
        <f t="shared" si="0"/>
        <v>44.923999999999999</v>
      </c>
      <c r="R9" s="1">
        <f t="shared" si="1"/>
        <v>63.5</v>
      </c>
      <c r="S9" s="1">
        <f t="shared" si="2"/>
        <v>18.576000000000001</v>
      </c>
      <c r="T9" s="3">
        <v>1</v>
      </c>
    </row>
    <row r="10" spans="1:20" ht="16.5" customHeight="1">
      <c r="A10" s="2" t="s">
        <v>16</v>
      </c>
      <c r="B10" s="2" t="s">
        <v>29</v>
      </c>
      <c r="C10" s="2" t="s">
        <v>30</v>
      </c>
      <c r="D10" s="2">
        <v>4.91</v>
      </c>
      <c r="E10" s="2">
        <v>15.22</v>
      </c>
      <c r="F10" s="2">
        <v>25</v>
      </c>
      <c r="G10" s="3">
        <f>(E10-D10)/(F10-D10)</f>
        <v>0.5131906421105028</v>
      </c>
      <c r="H10" s="4">
        <v>100</v>
      </c>
      <c r="I10" s="4"/>
      <c r="J10" s="4">
        <v>100</v>
      </c>
      <c r="K10" s="5">
        <v>1</v>
      </c>
      <c r="L10" s="4">
        <v>120</v>
      </c>
      <c r="M10" s="4"/>
      <c r="N10" s="4">
        <v>120</v>
      </c>
      <c r="O10" s="5">
        <v>1</v>
      </c>
      <c r="P10" s="3">
        <f>G10</f>
        <v>0.5131906421105028</v>
      </c>
      <c r="Q10" s="1">
        <f t="shared" si="0"/>
        <v>7.61</v>
      </c>
      <c r="R10" s="1">
        <f t="shared" si="1"/>
        <v>66.5</v>
      </c>
      <c r="S10" s="1">
        <f t="shared" si="2"/>
        <v>58.89</v>
      </c>
      <c r="T10" s="3">
        <v>0.51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T10"/>
  <sheetViews>
    <sheetView workbookViewId="0">
      <pane xSplit="3" topLeftCell="D1" activePane="topRight" state="frozen"/>
      <selection pane="topRight"/>
    </sheetView>
  </sheetViews>
  <sheetFormatPr baseColWidth="10" defaultColWidth="10" defaultRowHeight="16.5" customHeight="1"/>
  <cols>
    <col min="1" max="1" width="16.1640625" style="9" customWidth="1"/>
  </cols>
  <sheetData>
    <row r="1" spans="1:20" ht="16.5" customHeight="1">
      <c r="A1" s="2" t="s">
        <v>0</v>
      </c>
      <c r="B1" s="2" t="s">
        <v>18</v>
      </c>
      <c r="C1" s="2" t="s">
        <v>19</v>
      </c>
      <c r="D1" s="2" t="s">
        <v>34</v>
      </c>
      <c r="E1" s="2" t="s">
        <v>48</v>
      </c>
      <c r="F1" s="2" t="s">
        <v>2</v>
      </c>
      <c r="G1" s="2" t="s">
        <v>3</v>
      </c>
      <c r="H1" s="2" t="s">
        <v>36</v>
      </c>
      <c r="I1" s="2" t="s">
        <v>48</v>
      </c>
      <c r="J1" s="2" t="s">
        <v>5</v>
      </c>
      <c r="K1" s="2" t="s">
        <v>6</v>
      </c>
      <c r="L1" s="2" t="s">
        <v>37</v>
      </c>
      <c r="M1" s="2" t="s">
        <v>48</v>
      </c>
      <c r="N1" s="2" t="s">
        <v>8</v>
      </c>
      <c r="O1" s="2" t="s">
        <v>9</v>
      </c>
      <c r="P1" s="2" t="s">
        <v>10</v>
      </c>
      <c r="Q1" s="1" t="s">
        <v>38</v>
      </c>
      <c r="R1" s="1" t="s">
        <v>39</v>
      </c>
      <c r="S1" s="1" t="s">
        <v>40</v>
      </c>
      <c r="T1" s="1" t="s">
        <v>47</v>
      </c>
    </row>
    <row r="2" spans="1:20" ht="16.5" customHeight="1">
      <c r="A2" s="2" t="s">
        <v>11</v>
      </c>
      <c r="B2" s="2" t="s">
        <v>21</v>
      </c>
      <c r="C2" s="2" t="s">
        <v>41</v>
      </c>
      <c r="D2" s="2">
        <v>0.97</v>
      </c>
      <c r="E2" s="2">
        <v>0.84</v>
      </c>
      <c r="F2" s="2">
        <v>8</v>
      </c>
      <c r="G2" s="3">
        <f>(E2-D2)/(F2-D2)</f>
        <v>-1.849217638691323E-2</v>
      </c>
      <c r="H2" s="2">
        <v>5.77</v>
      </c>
      <c r="I2" s="2">
        <v>1.46</v>
      </c>
      <c r="J2" s="2">
        <v>15</v>
      </c>
      <c r="K2" s="3">
        <f>(I2-H2)/(J2-H2)</f>
        <v>-0.46695557963163592</v>
      </c>
      <c r="L2" s="4">
        <v>100</v>
      </c>
      <c r="M2" s="4">
        <v>120</v>
      </c>
      <c r="N2" s="4">
        <v>100</v>
      </c>
      <c r="O2" s="5">
        <v>1</v>
      </c>
      <c r="P2" s="3">
        <f>(G2+K2)/2</f>
        <v>-0.24272387800927459</v>
      </c>
      <c r="Q2" s="1">
        <f t="shared" ref="Q2:Q10" si="0">E2*0.5+I2*0.3+M2*0.2</f>
        <v>24.858000000000001</v>
      </c>
      <c r="R2" s="1">
        <f t="shared" ref="R2:R10" si="1">F2*0.5+J2*0.3+N2*0.2</f>
        <v>28.5</v>
      </c>
      <c r="S2" s="1">
        <f t="shared" ref="S2:S10" si="2">R2-Q2</f>
        <v>3.6419999999999995</v>
      </c>
      <c r="T2" s="3">
        <v>-0.15</v>
      </c>
    </row>
    <row r="3" spans="1:20" ht="16.5" customHeight="1">
      <c r="A3" s="2" t="s">
        <v>42</v>
      </c>
      <c r="B3" s="2" t="s">
        <v>31</v>
      </c>
      <c r="C3" s="2" t="s">
        <v>32</v>
      </c>
      <c r="D3" s="2">
        <v>0</v>
      </c>
      <c r="E3" s="2">
        <v>0</v>
      </c>
      <c r="F3" s="2">
        <v>25</v>
      </c>
      <c r="G3" s="3">
        <f>(E3-D3)/(F3-D3)</f>
        <v>0</v>
      </c>
      <c r="H3" s="2">
        <v>0</v>
      </c>
      <c r="I3" s="2">
        <v>0</v>
      </c>
      <c r="J3" s="2">
        <v>20</v>
      </c>
      <c r="K3" s="3">
        <f>(I3-H3)/(J3-H3)</f>
        <v>0</v>
      </c>
      <c r="L3" s="2">
        <v>0</v>
      </c>
      <c r="M3" s="2">
        <v>0</v>
      </c>
      <c r="N3" s="2">
        <v>19</v>
      </c>
      <c r="O3" s="3">
        <f>(M3-L3)/(N3-L3)</f>
        <v>0</v>
      </c>
      <c r="P3" s="3">
        <f>(G3+K3+O3)/3</f>
        <v>0</v>
      </c>
      <c r="Q3" s="1">
        <f t="shared" si="0"/>
        <v>0</v>
      </c>
      <c r="R3" s="1">
        <f t="shared" si="1"/>
        <v>22.3</v>
      </c>
      <c r="S3" s="1">
        <f t="shared" si="2"/>
        <v>22.3</v>
      </c>
    </row>
    <row r="4" spans="1:20" ht="16.5" customHeight="1">
      <c r="A4" s="2" t="s">
        <v>12</v>
      </c>
      <c r="B4" s="2" t="s">
        <v>23</v>
      </c>
      <c r="C4" s="2" t="s">
        <v>24</v>
      </c>
      <c r="D4" s="2">
        <v>37.590000000000003</v>
      </c>
      <c r="E4" s="2">
        <v>39.24</v>
      </c>
      <c r="F4" s="2">
        <v>45</v>
      </c>
      <c r="G4" s="3">
        <f>(E4-D4)/(F4-D4)</f>
        <v>0.22267206477732784</v>
      </c>
      <c r="H4" s="2">
        <v>65.27</v>
      </c>
      <c r="I4" s="2">
        <v>68.12</v>
      </c>
      <c r="J4" s="2">
        <v>70</v>
      </c>
      <c r="K4" s="3">
        <f>(I4-H4)/(J4-H4)</f>
        <v>0.60253699788583637</v>
      </c>
      <c r="L4" s="2">
        <v>23.08</v>
      </c>
      <c r="M4" s="2">
        <v>23.08</v>
      </c>
      <c r="N4" s="2">
        <v>40</v>
      </c>
      <c r="O4" s="3">
        <f>(M4-L4)/(N4-L4)</f>
        <v>0</v>
      </c>
      <c r="P4" s="3">
        <f>(G4+K4+O4)/3</f>
        <v>0.27506968755438804</v>
      </c>
      <c r="Q4" s="1">
        <f t="shared" si="0"/>
        <v>44.671999999999997</v>
      </c>
      <c r="R4" s="1">
        <f t="shared" si="1"/>
        <v>51.5</v>
      </c>
      <c r="S4" s="1">
        <f t="shared" si="2"/>
        <v>6.828000000000003</v>
      </c>
      <c r="T4" s="3">
        <v>0.26</v>
      </c>
    </row>
    <row r="5" spans="1:20" ht="16.5" customHeight="1">
      <c r="A5" s="2" t="s">
        <v>13</v>
      </c>
      <c r="B5" s="4" t="s">
        <v>25</v>
      </c>
      <c r="C5" s="4" t="s">
        <v>26</v>
      </c>
      <c r="D5" s="4">
        <v>120</v>
      </c>
      <c r="E5" s="4">
        <v>117</v>
      </c>
      <c r="F5" s="4">
        <v>120</v>
      </c>
      <c r="G5" s="5">
        <v>1</v>
      </c>
      <c r="H5" s="2">
        <v>17</v>
      </c>
      <c r="I5" s="2">
        <v>16</v>
      </c>
      <c r="J5" s="2">
        <v>20</v>
      </c>
      <c r="K5" s="3">
        <f>(I5-H5)/(J5-H5)</f>
        <v>-0.33333333333333331</v>
      </c>
      <c r="L5" s="2">
        <v>11</v>
      </c>
      <c r="M5" s="2">
        <v>6</v>
      </c>
      <c r="N5" s="2">
        <v>13</v>
      </c>
      <c r="O5" s="3">
        <f>(M5-L5)/(N5-L5)</f>
        <v>-2.5</v>
      </c>
      <c r="P5" s="3">
        <f>(K5+O5)/2</f>
        <v>-1.4166666666666667</v>
      </c>
      <c r="Q5" s="1">
        <f t="shared" si="0"/>
        <v>64.5</v>
      </c>
      <c r="R5" s="1">
        <f t="shared" si="1"/>
        <v>68.599999999999994</v>
      </c>
      <c r="S5" s="1">
        <f t="shared" si="2"/>
        <v>4.0999999999999943</v>
      </c>
      <c r="T5" s="3">
        <v>-0.83</v>
      </c>
    </row>
    <row r="6" spans="1:20" ht="16.5" customHeight="1">
      <c r="A6" s="2" t="s">
        <v>14</v>
      </c>
      <c r="B6" s="2" t="s">
        <v>27</v>
      </c>
      <c r="C6" s="2" t="s">
        <v>41</v>
      </c>
      <c r="D6" s="2">
        <v>23.08</v>
      </c>
      <c r="E6" s="2">
        <v>20.83</v>
      </c>
      <c r="F6" s="2">
        <v>35</v>
      </c>
      <c r="G6" s="3">
        <f>(E6-D6)/(F6-D6)</f>
        <v>-0.18875838926174493</v>
      </c>
      <c r="H6" s="2">
        <v>26.69</v>
      </c>
      <c r="I6" s="2">
        <v>9.64</v>
      </c>
      <c r="J6" s="2">
        <v>26.69</v>
      </c>
      <c r="K6" s="3">
        <f>I6/H6</f>
        <v>0.36118396403147246</v>
      </c>
      <c r="L6" s="4">
        <v>100</v>
      </c>
      <c r="M6" s="4">
        <v>100</v>
      </c>
      <c r="N6" s="4">
        <v>100</v>
      </c>
      <c r="O6" s="5">
        <v>1</v>
      </c>
      <c r="P6" s="3">
        <f>(G6+K6)/2</f>
        <v>8.6212787384863765E-2</v>
      </c>
      <c r="Q6" s="1">
        <f t="shared" si="0"/>
        <v>33.307000000000002</v>
      </c>
      <c r="R6" s="1">
        <f t="shared" si="1"/>
        <v>45.506999999999998</v>
      </c>
      <c r="S6" s="1">
        <f t="shared" si="2"/>
        <v>12.199999999999996</v>
      </c>
      <c r="T6" s="3">
        <v>1</v>
      </c>
    </row>
    <row r="7" spans="1:20" ht="16.5" customHeight="1">
      <c r="A7" s="2" t="s">
        <v>44</v>
      </c>
      <c r="B7" s="2" t="s">
        <v>31</v>
      </c>
      <c r="C7" s="2" t="s">
        <v>32</v>
      </c>
      <c r="D7" s="2">
        <v>85.65</v>
      </c>
      <c r="E7" s="2">
        <v>120</v>
      </c>
      <c r="F7" s="2">
        <v>95</v>
      </c>
      <c r="G7" s="3">
        <f>(E7-D7)/(F7-D7)</f>
        <v>3.6737967914438521</v>
      </c>
      <c r="H7" s="2">
        <v>0</v>
      </c>
      <c r="I7" s="2">
        <v>100</v>
      </c>
      <c r="J7" s="2">
        <v>33</v>
      </c>
      <c r="K7" s="3">
        <f>(I7-H7)/(J7-H7)</f>
        <v>3.0303030303030303</v>
      </c>
      <c r="L7" s="4">
        <v>72</v>
      </c>
      <c r="M7" s="4">
        <v>108</v>
      </c>
      <c r="N7" s="4">
        <v>72</v>
      </c>
      <c r="O7" s="5">
        <v>1</v>
      </c>
      <c r="P7" s="3">
        <f>(G7+K7)/2</f>
        <v>3.3520499108734412</v>
      </c>
      <c r="Q7" s="1">
        <f t="shared" si="0"/>
        <v>111.6</v>
      </c>
      <c r="R7" s="1">
        <f t="shared" si="1"/>
        <v>71.8</v>
      </c>
      <c r="S7" s="1">
        <f t="shared" si="2"/>
        <v>-39.799999999999997</v>
      </c>
      <c r="T7" s="3">
        <v>1</v>
      </c>
    </row>
    <row r="8" spans="1:20" ht="16.5" customHeight="1">
      <c r="A8" s="2" t="s">
        <v>45</v>
      </c>
      <c r="B8" s="2" t="s">
        <v>23</v>
      </c>
      <c r="C8" s="2" t="s">
        <v>24</v>
      </c>
      <c r="D8" s="4">
        <v>121.38</v>
      </c>
      <c r="E8" s="4">
        <v>120</v>
      </c>
      <c r="F8" s="4">
        <v>121.38</v>
      </c>
      <c r="G8" s="5">
        <v>1</v>
      </c>
      <c r="H8" s="2">
        <v>84.29</v>
      </c>
      <c r="I8" s="2">
        <v>68.12</v>
      </c>
      <c r="J8" s="2">
        <v>90</v>
      </c>
      <c r="K8" s="3">
        <f>(I8-H8)/(J8-H8)</f>
        <v>-2.8318739054290751</v>
      </c>
      <c r="L8" s="2">
        <v>23.08</v>
      </c>
      <c r="M8" s="2">
        <v>23.08</v>
      </c>
      <c r="N8" s="2">
        <v>40</v>
      </c>
      <c r="O8" s="3">
        <f>(M8-L8)/(N8-L8)</f>
        <v>0</v>
      </c>
      <c r="P8" s="3">
        <f>(K8+O8)/2</f>
        <v>-1.4159369527145376</v>
      </c>
      <c r="Q8" s="1">
        <f t="shared" si="0"/>
        <v>85.052000000000007</v>
      </c>
      <c r="R8" s="1">
        <f t="shared" si="1"/>
        <v>95.69</v>
      </c>
      <c r="S8" s="1">
        <f t="shared" si="2"/>
        <v>10.637999999999991</v>
      </c>
      <c r="T8" s="3">
        <v>1</v>
      </c>
    </row>
    <row r="9" spans="1:20" ht="16.5" customHeight="1">
      <c r="A9" s="2" t="s">
        <v>15</v>
      </c>
      <c r="B9" s="4" t="s">
        <v>25</v>
      </c>
      <c r="C9" s="4" t="s">
        <v>26</v>
      </c>
      <c r="D9" s="2">
        <v>120</v>
      </c>
      <c r="E9" s="2">
        <v>54</v>
      </c>
      <c r="F9" s="2">
        <v>120</v>
      </c>
      <c r="G9" s="3">
        <f>E9/120</f>
        <v>0.45</v>
      </c>
      <c r="H9" s="2">
        <v>0.06</v>
      </c>
      <c r="I9" s="2">
        <v>13</v>
      </c>
      <c r="J9" s="2">
        <v>5</v>
      </c>
      <c r="K9" s="6">
        <f>(I9-H9)/(J9-H9)</f>
        <v>2.6194331983805665</v>
      </c>
      <c r="L9" s="2">
        <v>6</v>
      </c>
      <c r="M9" s="2">
        <v>97</v>
      </c>
      <c r="N9" s="2">
        <v>10</v>
      </c>
      <c r="O9" s="3">
        <f>(M9-L9)/(N9-L9)</f>
        <v>22.75</v>
      </c>
      <c r="P9" s="3">
        <f>(O9+K9)/2</f>
        <v>12.684716599190283</v>
      </c>
      <c r="Q9" s="1">
        <f t="shared" si="0"/>
        <v>50.3</v>
      </c>
      <c r="R9" s="1">
        <f t="shared" si="1"/>
        <v>63.5</v>
      </c>
      <c r="S9" s="1">
        <f t="shared" si="2"/>
        <v>13.200000000000003</v>
      </c>
      <c r="T9" s="3">
        <v>1</v>
      </c>
    </row>
    <row r="10" spans="1:20" ht="16.5" customHeight="1">
      <c r="A10" s="2" t="s">
        <v>16</v>
      </c>
      <c r="B10" s="2" t="s">
        <v>29</v>
      </c>
      <c r="C10" s="2" t="s">
        <v>30</v>
      </c>
      <c r="D10" s="2">
        <v>4.91</v>
      </c>
      <c r="E10" s="2">
        <v>25.08</v>
      </c>
      <c r="F10" s="2">
        <v>25</v>
      </c>
      <c r="G10" s="3">
        <f>(E10-D10)/(F10-D10)</f>
        <v>1.0039820806371329</v>
      </c>
      <c r="H10" s="4">
        <v>100</v>
      </c>
      <c r="I10" s="4"/>
      <c r="J10" s="4">
        <v>100</v>
      </c>
      <c r="K10" s="5">
        <v>1</v>
      </c>
      <c r="L10" s="4">
        <v>120</v>
      </c>
      <c r="M10" s="4"/>
      <c r="N10" s="4">
        <v>120</v>
      </c>
      <c r="O10" s="5">
        <v>1</v>
      </c>
      <c r="P10" s="3">
        <f>G10</f>
        <v>1.0039820806371329</v>
      </c>
      <c r="Q10" s="1">
        <f t="shared" si="0"/>
        <v>12.54</v>
      </c>
      <c r="R10" s="1">
        <f t="shared" si="1"/>
        <v>66.5</v>
      </c>
      <c r="S10" s="1">
        <f t="shared" si="2"/>
        <v>53.96</v>
      </c>
      <c r="T10" s="3">
        <v>0.51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8"/>
  <sheetViews>
    <sheetView tabSelected="1" workbookViewId="0">
      <selection activeCell="L3" sqref="L3"/>
    </sheetView>
  </sheetViews>
  <sheetFormatPr baseColWidth="10" defaultColWidth="8.83203125" defaultRowHeight="16"/>
  <sheetData>
    <row r="1" spans="1:16">
      <c r="A1" s="10" t="s">
        <v>0</v>
      </c>
      <c r="B1" s="10" t="s">
        <v>18</v>
      </c>
      <c r="C1" s="10" t="s">
        <v>19</v>
      </c>
      <c r="D1" s="10" t="s">
        <v>1</v>
      </c>
      <c r="E1" s="10" t="s">
        <v>49</v>
      </c>
      <c r="F1" s="10" t="s">
        <v>2</v>
      </c>
      <c r="G1" s="10" t="s">
        <v>3</v>
      </c>
      <c r="H1" s="10" t="s">
        <v>4</v>
      </c>
      <c r="I1" s="10" t="s">
        <v>50</v>
      </c>
      <c r="J1" s="10" t="s">
        <v>5</v>
      </c>
      <c r="K1" s="10" t="s">
        <v>6</v>
      </c>
      <c r="L1" s="10" t="s">
        <v>7</v>
      </c>
      <c r="M1" s="10" t="s">
        <v>51</v>
      </c>
      <c r="N1" s="10" t="s">
        <v>8</v>
      </c>
      <c r="O1" s="10" t="s">
        <v>9</v>
      </c>
      <c r="P1" s="10" t="s">
        <v>10</v>
      </c>
    </row>
    <row r="2" spans="1:16">
      <c r="A2" t="s">
        <v>11</v>
      </c>
      <c r="B2" t="s">
        <v>21</v>
      </c>
      <c r="C2" t="s">
        <v>22</v>
      </c>
      <c r="D2">
        <v>0.67</v>
      </c>
      <c r="E2">
        <v>0.19</v>
      </c>
      <c r="F2">
        <v>0.92</v>
      </c>
      <c r="G2" s="3">
        <f>(E2-D2)/(F2-D2)</f>
        <v>-1.9200000000000002</v>
      </c>
      <c r="H2">
        <v>1.17</v>
      </c>
      <c r="I2">
        <v>0.33</v>
      </c>
      <c r="J2">
        <v>1.61</v>
      </c>
      <c r="K2" s="3">
        <f>(I2-H2)/(J2-H2)</f>
        <v>-1.9090909090909081</v>
      </c>
      <c r="L2">
        <v>100</v>
      </c>
      <c r="M2">
        <v>100</v>
      </c>
      <c r="N2">
        <v>100</v>
      </c>
      <c r="O2" s="3">
        <v>1</v>
      </c>
      <c r="P2" s="3">
        <f t="shared" ref="P2:P8" si="0">(G2+K2+O2)/3</f>
        <v>-0.94303030303030277</v>
      </c>
    </row>
    <row r="3" spans="1:16">
      <c r="A3" t="s">
        <v>12</v>
      </c>
      <c r="B3" t="s">
        <v>23</v>
      </c>
      <c r="C3" t="s">
        <v>24</v>
      </c>
      <c r="D3">
        <v>39.270000000000003</v>
      </c>
      <c r="E3">
        <v>39.81</v>
      </c>
      <c r="F3">
        <v>43.16</v>
      </c>
      <c r="G3" s="3">
        <f t="shared" ref="G3:G8" si="1">(E3-D3)/(F3-D3)</f>
        <v>0.13881748071979436</v>
      </c>
      <c r="H3">
        <v>68.180000000000007</v>
      </c>
      <c r="I3">
        <v>69.12</v>
      </c>
      <c r="J3">
        <v>71.53</v>
      </c>
      <c r="K3" s="3">
        <f t="shared" ref="K3:K8" si="2">(I3-H3)/(J3-H3)</f>
        <v>0.28059701492537292</v>
      </c>
      <c r="L3">
        <v>23.08</v>
      </c>
      <c r="M3">
        <v>23.08</v>
      </c>
      <c r="N3">
        <v>23.08</v>
      </c>
      <c r="O3" s="3">
        <v>1</v>
      </c>
      <c r="P3" s="3">
        <f t="shared" si="0"/>
        <v>0.47313816521505575</v>
      </c>
    </row>
    <row r="4" spans="1:16">
      <c r="A4" t="s">
        <v>13</v>
      </c>
      <c r="B4" t="s">
        <v>25</v>
      </c>
      <c r="C4" t="s">
        <v>26</v>
      </c>
      <c r="D4">
        <v>120</v>
      </c>
      <c r="E4">
        <v>120</v>
      </c>
      <c r="F4">
        <v>120</v>
      </c>
      <c r="G4" s="3">
        <v>1</v>
      </c>
      <c r="H4">
        <v>16</v>
      </c>
      <c r="I4">
        <v>17</v>
      </c>
      <c r="J4">
        <v>17.600000000000001</v>
      </c>
      <c r="K4" s="3">
        <f t="shared" si="2"/>
        <v>0.62499999999999944</v>
      </c>
      <c r="L4">
        <v>6</v>
      </c>
      <c r="M4">
        <v>39</v>
      </c>
      <c r="N4">
        <v>6.6</v>
      </c>
      <c r="O4" s="3">
        <f t="shared" ref="O3:O8" si="3">(M4-L4)/(N4-L4)</f>
        <v>55.000000000000036</v>
      </c>
      <c r="P4" s="3">
        <f t="shared" si="0"/>
        <v>18.875000000000011</v>
      </c>
    </row>
    <row r="5" spans="1:16">
      <c r="A5" t="s">
        <v>14</v>
      </c>
      <c r="B5" t="s">
        <v>27</v>
      </c>
      <c r="C5" t="s">
        <v>28</v>
      </c>
      <c r="D5">
        <v>17.66</v>
      </c>
      <c r="E5">
        <v>22.37</v>
      </c>
      <c r="F5">
        <v>22.91</v>
      </c>
      <c r="G5" s="3">
        <f t="shared" si="1"/>
        <v>0.89714285714285735</v>
      </c>
      <c r="H5">
        <v>8.18</v>
      </c>
      <c r="I5">
        <v>10.36</v>
      </c>
      <c r="J5">
        <v>10.6</v>
      </c>
      <c r="K5" s="3">
        <f t="shared" si="2"/>
        <v>0.90082644628099162</v>
      </c>
      <c r="L5">
        <v>100</v>
      </c>
      <c r="M5">
        <v>100</v>
      </c>
      <c r="N5">
        <v>100</v>
      </c>
      <c r="O5" s="3">
        <v>1</v>
      </c>
      <c r="P5" s="3">
        <f t="shared" si="0"/>
        <v>0.93265643447461632</v>
      </c>
    </row>
    <row r="6" spans="1:16">
      <c r="A6" t="s">
        <v>15</v>
      </c>
      <c r="B6" t="s">
        <v>25</v>
      </c>
      <c r="C6" t="s">
        <v>26</v>
      </c>
      <c r="D6">
        <v>54</v>
      </c>
      <c r="E6">
        <v>120</v>
      </c>
      <c r="F6">
        <v>56.7</v>
      </c>
      <c r="G6" s="3">
        <f t="shared" si="1"/>
        <v>24.444444444444418</v>
      </c>
      <c r="H6">
        <v>13</v>
      </c>
      <c r="I6">
        <v>0</v>
      </c>
      <c r="J6">
        <v>14.3</v>
      </c>
      <c r="K6" s="3">
        <f t="shared" si="2"/>
        <v>-9.9999999999999947</v>
      </c>
      <c r="L6">
        <v>97</v>
      </c>
      <c r="M6">
        <v>38</v>
      </c>
      <c r="N6">
        <v>100</v>
      </c>
      <c r="O6" s="3">
        <f t="shared" si="3"/>
        <v>-19.666666666666668</v>
      </c>
      <c r="P6" s="3">
        <f t="shared" si="0"/>
        <v>-1.7407407407407482</v>
      </c>
    </row>
    <row r="7" spans="1:16">
      <c r="A7" t="s">
        <v>16</v>
      </c>
      <c r="B7" t="s">
        <v>29</v>
      </c>
      <c r="C7" t="s">
        <v>30</v>
      </c>
      <c r="D7">
        <v>25.91</v>
      </c>
      <c r="E7">
        <v>37.479999999999997</v>
      </c>
      <c r="F7">
        <v>27.59</v>
      </c>
      <c r="G7" s="3">
        <f t="shared" si="1"/>
        <v>6.886904761904761</v>
      </c>
      <c r="H7">
        <v>100</v>
      </c>
      <c r="I7">
        <v>100</v>
      </c>
      <c r="J7">
        <v>100</v>
      </c>
      <c r="K7" s="3">
        <v>1</v>
      </c>
      <c r="L7">
        <v>120</v>
      </c>
      <c r="M7">
        <v>120</v>
      </c>
      <c r="N7">
        <v>120</v>
      </c>
      <c r="O7" s="3">
        <v>1</v>
      </c>
      <c r="P7" s="3">
        <f t="shared" si="0"/>
        <v>2.962301587301587</v>
      </c>
    </row>
    <row r="8" spans="1:16">
      <c r="A8" t="s">
        <v>17</v>
      </c>
      <c r="B8" t="s">
        <v>31</v>
      </c>
      <c r="C8" t="s">
        <v>32</v>
      </c>
      <c r="D8">
        <v>120</v>
      </c>
      <c r="E8">
        <v>120</v>
      </c>
      <c r="F8">
        <v>120</v>
      </c>
      <c r="G8" s="3">
        <v>1</v>
      </c>
      <c r="H8">
        <v>41.37</v>
      </c>
      <c r="I8">
        <v>120</v>
      </c>
      <c r="J8">
        <v>43.74</v>
      </c>
      <c r="K8" s="3">
        <f t="shared" si="2"/>
        <v>33.177215189873351</v>
      </c>
      <c r="L8">
        <v>51.6</v>
      </c>
      <c r="M8">
        <v>69.040000000000006</v>
      </c>
      <c r="N8">
        <v>54.63</v>
      </c>
      <c r="O8" s="3">
        <f t="shared" si="3"/>
        <v>5.7557755775577553</v>
      </c>
      <c r="P8" s="3">
        <f t="shared" si="0"/>
        <v>13.310996922477036</v>
      </c>
    </row>
  </sheetData>
  <phoneticPr fontId="1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初始值</vt:lpstr>
      <vt:lpstr>12 月</vt:lpstr>
      <vt:lpstr>1 月</vt:lpstr>
      <vt:lpstr>9 月</vt:lpstr>
      <vt:lpstr>10 月</vt:lpstr>
      <vt:lpstr>11 月</vt:lpstr>
      <vt:lpstr>2 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zhangchen</cp:lastModifiedBy>
  <dcterms:created xsi:type="dcterms:W3CDTF">2006-09-16T00:00:00Z</dcterms:created>
  <dcterms:modified xsi:type="dcterms:W3CDTF">2026-03-03T06:52:13Z</dcterms:modified>
</cp:coreProperties>
</file>